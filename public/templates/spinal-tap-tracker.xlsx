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ily log" sheetId="2" state="visible" r:id="rId4"/>
    <sheet name="Training log" sheetId="3" state="visible" r:id="rId5"/>
    <sheet name="Weekly review" sheetId="4" state="visible" r:id="rId6"/>
    <sheet name="McGill tests" sheetId="5" state="visible" r:id="rId7"/>
    <sheet name="Gates" sheetId="6" state="visible" r:id="rId8"/>
    <sheet name="Calculato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<sst xmlns="http://schemas.openxmlformats.org/spreadsheetml/2006/main" count="150" uniqueCount="125">
  <si>
    <t xml:space="preserve">Spinal Tap progress tracker</t>
  </si>
  <si>
    <t xml:space="preserve">A free template for running the rehab-to-performance plan on your own. It stays on your device: nothing is sent anywhere.</t>
  </si>
  <si>
    <t xml:space="preserve">This template teaches and records. It does not diagnose, clear a symptom, or replace a clinician.</t>
  </si>
  <si>
    <t xml:space="preserve">Stop self-directed work and see a clinician the same day if you have any of: symptoms below the knee, numbness or weakness, saddle anaesthesia, bladder or bowel change, night pain, fever, unexplained weight loss, trauma.</t>
  </si>
  <si>
    <t xml:space="preserve">How to use it</t>
  </si>
  <si>
    <t xml:space="preserve">1. Daily log: one row a day, training day or not. Fill it in each morning, before coffee and before the walk.</t>
  </si>
  <si>
    <t xml:space="preserve">2. Training log: one row per lift per session (load, sets, reps, RPE). Hard sets and e1RM are computed.</t>
  </si>
  <si>
    <t xml:space="preserve">3. Weekly review: type the Monday of your first week in A6; everything else on that sheet is computed from the two logs.</t>
  </si>
  <si>
    <t xml:space="preserve">4. McGill tests: the endurance battery, once a month. Ratios and gate verdicts are computed.</t>
  </si>
  <si>
    <t xml:space="preserve">5. Gates: mark a gate met when the log shows it, not when you feel it is. Phase progress is counted at the top.</t>
  </si>
  <si>
    <t xml:space="preserve">6. Calculators: DOTS, Epley e1RM and bodyweight multiples for the strength gates.</t>
  </si>
  <si>
    <t xml:space="preserve">Conventions</t>
  </si>
  <si>
    <t xml:space="preserve">Yellow cells are inputs. Grey cells are formulas. Drop-downs offer the allowed values. Each log sheet has an example row 6: overwrite it with your first day.</t>
  </si>
  <si>
    <t xml:space="preserve">Weights are in kg. Every number in the plan is a labelled opening position ([proposed] or [heuristic]) for you to replace with your own data.</t>
  </si>
  <si>
    <t xml:space="preserve">Never edit yesterday. A late or unusual reading gets a note, not a correction.</t>
  </si>
  <si>
    <t xml:space="preserve">Where the rules come from</t>
  </si>
  <si>
    <t xml:space="preserve">On the Spinal Tap site: the plan (/plan/), the log fields (/learn/self-coaching/the-log/) and the verdict (/learn/self-coaching/daily-decision-tree/).</t>
  </si>
  <si>
    <t xml:space="preserve">Template licensed CC BY-SA 4.0, like the site's prose. Copy it, change it, share it.</t>
  </si>
  <si>
    <t xml:space="preserve">Daily log</t>
  </si>
  <si>
    <t xml:space="preserve">Phase 0 check-in fields. One row per day, training or not. The stiffness change only appears once 14 earlier days are logged.</t>
  </si>
  <si>
    <t xml:space="preserve">Yellow cells are yours to fill in. Grey cells are formulas; leave them alone. Row 6 is an example: overwrite it.</t>
  </si>
  <si>
    <t xml:space="preserve">[heuristic] 2 points above your 14-day baseline is a common reading of 'clearly above'.</t>
  </si>
  <si>
    <t xml:space="preserve">Date</t>
  </si>
  <si>
    <t xml:space="preserve">Morning stiffness (0–10)</t>
  </si>
  <si>
    <t xml:space="preserve">Below the glute? (yes/no)</t>
  </si>
  <si>
    <t xml:space="preserve">Sleep (h)</t>
  </si>
  <si>
    <t xml:space="preserve">Stress (1–5)</t>
  </si>
  <si>
    <t xml:space="preserve">Bodyweight (kg)</t>
  </si>
  <si>
    <t xml:space="preserve">Walk (min)</t>
  </si>
  <si>
    <t xml:space="preserve">Verdict on yesterday</t>
  </si>
  <si>
    <t xml:space="preserve">Stiffness vs 14-day baseline</t>
  </si>
  <si>
    <t xml:space="preserve">Notes</t>
  </si>
  <si>
    <t xml:space="preserve">no</t>
  </si>
  <si>
    <t xml:space="preserve">Clean</t>
  </si>
  <si>
    <t xml:space="preserve">Example row: overwrite with your first day.</t>
  </si>
  <si>
    <t xml:space="preserve">Training log</t>
  </si>
  <si>
    <t xml:space="preserve">One row per lift per session: the working sets only. A hard set is an axial set at RPE 7 or above.</t>
  </si>
  <si>
    <t xml:space="preserve">Epley: load × (1 + reps/30); a single is its own e1RM. RPE-adjusted adds reps in reserve (10 − RPE).</t>
  </si>
  <si>
    <t xml:space="preserve">Lift</t>
  </si>
  <si>
    <t xml:space="preserve">Axial? (yes/no)</t>
  </si>
  <si>
    <t xml:space="preserve">Load (kg)</t>
  </si>
  <si>
    <t xml:space="preserve">Sets</t>
  </si>
  <si>
    <t xml:space="preserve">Reps</t>
  </si>
  <si>
    <t xml:space="preserve">RPE</t>
  </si>
  <si>
    <t xml:space="preserve">e1RM (Epley)</t>
  </si>
  <si>
    <t xml:space="preserve">e1RM (RPE-adjusted)</t>
  </si>
  <si>
    <t xml:space="preserve">Axial hard sets</t>
  </si>
  <si>
    <t xml:space="preserve">Week starting (Mon)</t>
  </si>
  <si>
    <t xml:space="preserve">Romanian deadlift</t>
  </si>
  <si>
    <t xml:space="preserve">yes</t>
  </si>
  <si>
    <t xml:space="preserve">Example row: overwrite it.</t>
  </si>
  <si>
    <t xml:space="preserve">Weekly review</t>
  </si>
  <si>
    <t xml:space="preserve">Type the Monday of your first week in A6. The rest is computed from the Daily log and Training log.</t>
  </si>
  <si>
    <t xml:space="preserve">[heuristic] Two bad days in one week cut that week's axial hard sets by 40%; intensity is held.</t>
  </si>
  <si>
    <t xml:space="preserve">Days logged</t>
  </si>
  <si>
    <t xml:space="preserve">Yellow days</t>
  </si>
  <si>
    <t xml:space="preserve">Bad days</t>
  </si>
  <si>
    <t xml:space="preserve">Two bad days? (cut 40%)</t>
  </si>
  <si>
    <t xml:space="preserve">Hard-set cap after cut</t>
  </si>
  <si>
    <t xml:space="preserve">Review notes</t>
  </si>
  <si>
    <t xml:space="preserve">McGill endurance tests</t>
  </si>
  <si>
    <t xml:space="preserve">Monthly. Hold times in seconds. Gates: flexor/extensor &lt; 1.0; side bridge/extensor 0.75 ± 0.1; left/right within 5%.</t>
  </si>
  <si>
    <t xml:space="preserve">Source: McGill et al. 1999 endurance norms (mcgill-1999-endurance-norms).</t>
  </si>
  <si>
    <t xml:space="preserve">Flexor hold (s)</t>
  </si>
  <si>
    <t xml:space="preserve">Extensor hold (s)</t>
  </si>
  <si>
    <t xml:space="preserve">Side bridge L (s)</t>
  </si>
  <si>
    <t xml:space="preserve">Side bridge R (s)</t>
  </si>
  <si>
    <t xml:space="preserve">Flexor / extensor</t>
  </si>
  <si>
    <t xml:space="preserve">Side bridge / extensor</t>
  </si>
  <si>
    <t xml:space="preserve">L/R asymmetry (%)</t>
  </si>
  <si>
    <t xml:space="preserve">Gate: flex/ext</t>
  </si>
  <si>
    <t xml:space="preserve">Gate: bridge/ext</t>
  </si>
  <si>
    <t xml:space="preserve">Gate: symmetry</t>
  </si>
  <si>
    <t xml:space="preserve">Exit gates</t>
  </si>
  <si>
    <t xml:space="preserve">Mark a gate met when your log shows it, not when you feel it is. The tag names where each number comes from.</t>
  </si>
  <si>
    <t xml:space="preserve">Phase 0</t>
  </si>
  <si>
    <t xml:space="preserve">Baseline</t>
  </si>
  <si>
    <t xml:space="preserve">Phase 1</t>
  </si>
  <si>
    <t xml:space="preserve">Capacity floor</t>
  </si>
  <si>
    <t xml:space="preserve">Phase 2</t>
  </si>
  <si>
    <t xml:space="preserve">Progressive loading</t>
  </si>
  <si>
    <t xml:space="preserve">Phase 3</t>
  </si>
  <si>
    <t xml:space="preserve">Strength build</t>
  </si>
  <si>
    <t xml:space="preserve">Phase 4</t>
  </si>
  <si>
    <t xml:space="preserve">Performance</t>
  </si>
  <si>
    <t xml:space="preserve">Phase</t>
  </si>
  <si>
    <t xml:space="preserve">Gate</t>
  </si>
  <si>
    <t xml:space="preserve">Source or tag</t>
  </si>
  <si>
    <t xml:space="preserve">Met? (yes/no)</t>
  </si>
  <si>
    <t xml:space="preserve">Date met</t>
  </si>
  <si>
    <t xml:space="preserve">Where the log shows it</t>
  </si>
  <si>
    <t xml:space="preserve">14 consecutive daily check-ins logged</t>
  </si>
  <si>
    <t xml:space="preserve">[proposed]</t>
  </si>
  <si>
    <t xml:space="preserve">Flexor/extensor endurance ratio below 1.0</t>
  </si>
  <si>
    <t xml:space="preserve">[mcgill-1999-endurance-norms]</t>
  </si>
  <si>
    <t xml:space="preserve">Side bridge/extensor ratio about 0.75</t>
  </si>
  <si>
    <t xml:space="preserve">Left and right side bridge within 5% of each other</t>
  </si>
  <si>
    <t xml:space="preserve">4 consecutive weeks without a bad next-day verdict</t>
  </si>
  <si>
    <t xml:space="preserve">[heuristic]</t>
  </si>
  <si>
    <t xml:space="preserve">Pain-free RDL at 1.0× bodyweight for 8 reps</t>
  </si>
  <si>
    <t xml:space="preserve">Suitcase carry at 0.5× bodyweight per hand for 30 m</t>
  </si>
  <si>
    <t xml:space="preserve">Deadlift from the floor at 1.5× bodyweight for 5 at RPE ≤ 8 with no yellow verdict</t>
  </si>
  <si>
    <t xml:space="preserve">Squat at 1.5× bodyweight for 5</t>
  </si>
  <si>
    <t xml:space="preserve">8 consecutive clean weeks</t>
  </si>
  <si>
    <t xml:space="preserve">Endurance ratios held at the monthly retest</t>
  </si>
  <si>
    <t xml:space="preserve">First competition entered and completed</t>
  </si>
  <si>
    <t xml:space="preserve">3 consecutive injury-free blocks</t>
  </si>
  <si>
    <t xml:space="preserve">Red-flag screen and McGill retest repeated monthly, logged</t>
  </si>
  <si>
    <t xml:space="preserve">Calculators</t>
  </si>
  <si>
    <t xml:space="preserve">Type into the yellow cells. Same formulas as the calculators on the site.</t>
  </si>
  <si>
    <t xml:space="preserve">Estimated 1RM (Epley)</t>
  </si>
  <si>
    <t xml:space="preserve">RPE (optional)</t>
  </si>
  <si>
    <t xml:space="preserve">Estimated 1RM</t>
  </si>
  <si>
    <t xml:space="preserve">RPE-adjusted 1RM</t>
  </si>
  <si>
    <t xml:space="preserve">Epley: load × (1 + reps/30). RPE-adjusted counts reps in reserve (10 − RPE) as reps.</t>
  </si>
  <si>
    <t xml:space="preserve">Bodyweight multiple</t>
  </si>
  <si>
    <t xml:space="preserve">Estimated 1RM or working load (kg)</t>
  </si>
  <si>
    <t xml:space="preserve">Multiple of bodyweight</t>
  </si>
  <si>
    <t xml:space="preserve">Strength gates are read off an estimated 1RM from a recent working set, never a tested max [proposed].</t>
  </si>
  <si>
    <t xml:space="preserve">DOTS</t>
  </si>
  <si>
    <t xml:space="preserve">Total (kg)</t>
  </si>
  <si>
    <t xml:space="preserve">Sex (male/female)</t>
  </si>
  <si>
    <t xml:space="preserve">male</t>
  </si>
  <si>
    <t xml:space="preserve">DOTS points</t>
  </si>
  <si>
    <t xml:space="preserve">Official DOTS (2019) coefficients. Around 450 is roughly the top 1% of competitive open entries [heuristic]; a marker, not a gate.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</si>
</sst>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"/>
    <numFmt numFmtId="167" formatCode="\+0.0;\-0.0;0.0"/>
    <numFmt numFmtId="168" formatCode="General"/>
    <numFmt numFmtId="169" formatCode="0.00"/>
    <numFmt numFmtId="170" formatCode="0.00\×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8D4D4"/>
        <bgColor rgb="FFFDE9C4"/>
      </patternFill>
    </fill>
    <fill>
      <patternFill patternType="solid">
        <fgColor rgb="FF0D0D0D"/>
        <bgColor rgb="FF000000"/>
      </patternFill>
    </fill>
    <fill>
      <patternFill patternType="solid">
        <fgColor rgb="FFFFF6D5"/>
        <bgColor rgb="FFFDE9C4"/>
      </patternFill>
    </fill>
    <fill>
      <patternFill patternType="solid">
        <fgColor rgb="FFF2F2F2"/>
        <bgColor rgb="FFFFF6D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5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4D4"/>
        </patternFill>
      </fill>
    </dxf>
    <dxf>
      <fill>
        <patternFill>
          <bgColor rgb="FFFDE9C4"/>
        </patternFill>
      </fill>
    </dxf>
    <dxf>
      <fill>
        <patternFill>
          <bgColor rgb="FFD4FA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D4FAE8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9C4"/>
      <rgbColor rgb="FF99CCFF"/>
      <rgbColor rgb="FFFF99CC"/>
      <rgbColor rgb="FFCC99FF"/>
      <rgbColor rgb="FFF8D4D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27.75" hidden="false" customHeight="true" outlineLevel="0" collapsed="false">
      <c r="B5" s="4" t="s">
        <v>3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5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23.8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5" t="s">
        <v>15</v>
      </c>
    </row>
    <row r="21" customFormat="false" ht="23.8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0" min="10" style="0" width="50"/>
  </cols>
  <sheetData>
    <row r="1" customFormat="false" ht="19.7" hidden="false" customHeight="false" outlineLevel="0" collapsed="false">
      <c r="A1" s="7" t="s">
        <v>18</v>
      </c>
    </row>
    <row r="2" customFormat="false" ht="15" hidden="false" customHeight="false" outlineLevel="0" collapsed="false">
      <c r="A2" s="8" t="s">
        <v>19</v>
      </c>
    </row>
    <row r="3" customFormat="false" ht="15" hidden="false" customHeight="false" outlineLevel="0" collapsed="false">
      <c r="A3" s="8" t="s">
        <v>20</v>
      </c>
    </row>
    <row r="4" customFormat="false" ht="15" hidden="false" customHeight="false" outlineLevel="0" collapsed="false">
      <c r="J4" s="8" t="s">
        <v>21</v>
      </c>
    </row>
    <row r="5" customFormat="false" ht="30" hidden="false" customHeight="true" outlineLevel="0" collapsed="false">
      <c r="A5" s="9" t="s">
        <v>22</v>
      </c>
      <c r="B5" s="9" t="s">
        <v>23</v>
      </c>
      <c r="C5" s="9" t="s">
        <v>24</v>
      </c>
      <c r="D5" s="9" t="s">
        <v>25</v>
      </c>
      <c r="E5" s="9" t="s">
        <v>26</v>
      </c>
      <c r="F5" s="9" t="s">
        <v>27</v>
      </c>
      <c r="G5" s="9" t="s">
        <v>28</v>
      </c>
      <c r="H5" s="9" t="s">
        <v>29</v>
      </c>
      <c r="I5" s="9" t="s">
        <v>30</v>
      </c>
      <c r="J5" s="9" t="s">
        <v>31</v>
      </c>
    </row>
    <row r="6" customFormat="false" ht="15" hidden="false" customHeight="false" outlineLevel="0" collapsed="false">
      <c r="A6" s="10" t="n">
        <v>46027</v>
      </c>
      <c r="B6" s="11" t="n">
        <v>2</v>
      </c>
      <c r="C6" s="11" t="s">
        <v>32</v>
      </c>
      <c r="D6" s="11" t="n">
        <v>7.5</v>
      </c>
      <c r="E6" s="11" t="n">
        <v>2</v>
      </c>
      <c r="F6" s="12" t="n">
        <v>82.4</v>
      </c>
      <c r="G6" s="11" t="n">
        <v>30</v>
      </c>
      <c r="H6" s="11" t="s">
        <v>33</v>
      </c>
      <c r="I6" s="13"/>
      <c r="J6" s="14" t="s">
        <v>34</v>
      </c>
    </row>
    <row r="7" customFormat="false" ht="15" hidden="false" customHeight="false" outlineLevel="0" collapsed="false">
      <c r="A7" s="10"/>
      <c r="B7" s="11"/>
      <c r="C7" s="11"/>
      <c r="D7" s="11"/>
      <c r="E7" s="11"/>
      <c r="F7" s="12"/>
      <c r="G7" s="11"/>
      <c r="H7" s="11"/>
      <c r="I7" s="13"/>
      <c r="J7" s="14"/>
    </row>
    <row r="8" customFormat="false" ht="15" hidden="false" customHeight="false" outlineLevel="0" collapsed="false">
      <c r="A8" s="10"/>
      <c r="B8" s="11"/>
      <c r="C8" s="11"/>
      <c r="D8" s="11"/>
      <c r="E8" s="11"/>
      <c r="F8" s="12"/>
      <c r="G8" s="11"/>
      <c r="H8" s="11"/>
      <c r="I8" s="13"/>
      <c r="J8" s="14"/>
    </row>
    <row r="9" customFormat="false" ht="15" hidden="false" customHeight="false" outlineLevel="0" collapsed="false">
      <c r="A9" s="10"/>
      <c r="B9" s="11"/>
      <c r="C9" s="11"/>
      <c r="D9" s="11"/>
      <c r="E9" s="11"/>
      <c r="F9" s="12"/>
      <c r="G9" s="11"/>
      <c r="H9" s="11"/>
      <c r="I9" s="13"/>
      <c r="J9" s="14"/>
    </row>
    <row r="10" customFormat="false" ht="15" hidden="false" customHeight="false" outlineLevel="0" collapsed="false">
      <c r="A10" s="10"/>
      <c r="B10" s="11"/>
      <c r="C10" s="11"/>
      <c r="D10" s="11"/>
      <c r="E10" s="11"/>
      <c r="F10" s="12"/>
      <c r="G10" s="11"/>
      <c r="H10" s="11"/>
      <c r="I10" s="13"/>
      <c r="J10" s="14"/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2"/>
      <c r="G11" s="11"/>
      <c r="H11" s="11"/>
      <c r="I11" s="13"/>
      <c r="J11" s="14"/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2"/>
      <c r="G12" s="11"/>
      <c r="H12" s="11"/>
      <c r="I12" s="13"/>
      <c r="J12" s="14"/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2"/>
      <c r="G13" s="11"/>
      <c r="H13" s="11"/>
      <c r="I13" s="13"/>
      <c r="J13" s="14"/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2"/>
      <c r="G14" s="11"/>
      <c r="H14" s="11"/>
      <c r="I14" s="13"/>
      <c r="J14" s="14"/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2"/>
      <c r="G15" s="11"/>
      <c r="H15" s="11"/>
      <c r="I15" s="13"/>
      <c r="J15" s="14"/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2"/>
      <c r="G16" s="11"/>
      <c r="H16" s="11"/>
      <c r="I16" s="13"/>
      <c r="J16" s="14"/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2"/>
      <c r="G17" s="11"/>
      <c r="H17" s="11"/>
      <c r="I17" s="13"/>
      <c r="J17" s="14"/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2"/>
      <c r="G18" s="11"/>
      <c r="H18" s="11"/>
      <c r="I18" s="13"/>
      <c r="J18" s="14"/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2"/>
      <c r="G19" s="11"/>
      <c r="H19" s="11"/>
      <c r="I19" s="13"/>
      <c r="J19" s="14"/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2"/>
      <c r="G20" s="11"/>
      <c r="H20" s="11"/>
      <c r="I20" s="13" t="str">
        <f aca="false">IF(OR(B20="",COUNT(B6:B19)&lt;14),"",B20-AVERAGE(B6:B19))</f>
        <v/>
      </c>
      <c r="J20" s="14"/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2"/>
      <c r="G21" s="11"/>
      <c r="H21" s="11"/>
      <c r="I21" s="13" t="str">
        <f aca="false">IF(OR(B21="",COUNT(B7:B20)&lt;14),"",B21-AVERAGE(B7:B20))</f>
        <v/>
      </c>
      <c r="J21" s="14"/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2"/>
      <c r="G22" s="11"/>
      <c r="H22" s="11"/>
      <c r="I22" s="13" t="str">
        <f aca="false">IF(OR(B22="",COUNT(B8:B21)&lt;14),"",B22-AVERAGE(B8:B21))</f>
        <v/>
      </c>
      <c r="J22" s="14"/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2"/>
      <c r="G23" s="11"/>
      <c r="H23" s="11"/>
      <c r="I23" s="13" t="str">
        <f aca="false">IF(OR(B23="",COUNT(B9:B22)&lt;14),"",B23-AVERAGE(B9:B22))</f>
        <v/>
      </c>
      <c r="J23" s="14"/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2"/>
      <c r="G24" s="11"/>
      <c r="H24" s="11"/>
      <c r="I24" s="13" t="str">
        <f aca="false">IF(OR(B24="",COUNT(B10:B23)&lt;14),"",B24-AVERAGE(B10:B23))</f>
        <v/>
      </c>
      <c r="J24" s="14"/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2"/>
      <c r="G25" s="11"/>
      <c r="H25" s="11"/>
      <c r="I25" s="13" t="str">
        <f aca="false">IF(OR(B25="",COUNT(B11:B24)&lt;14),"",B25-AVERAGE(B11:B24))</f>
        <v/>
      </c>
      <c r="J25" s="14"/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2"/>
      <c r="G26" s="11"/>
      <c r="H26" s="11"/>
      <c r="I26" s="13" t="str">
        <f aca="false">IF(OR(B26="",COUNT(B12:B25)&lt;14),"",B26-AVERAGE(B12:B25))</f>
        <v/>
      </c>
      <c r="J26" s="14"/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2"/>
      <c r="G27" s="11"/>
      <c r="H27" s="11"/>
      <c r="I27" s="13" t="str">
        <f aca="false">IF(OR(B27="",COUNT(B13:B26)&lt;14),"",B27-AVERAGE(B13:B26))</f>
        <v/>
      </c>
      <c r="J27" s="14"/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2"/>
      <c r="G28" s="11"/>
      <c r="H28" s="11"/>
      <c r="I28" s="13" t="str">
        <f aca="false">IF(OR(B28="",COUNT(B14:B27)&lt;14),"",B28-AVERAGE(B14:B27))</f>
        <v/>
      </c>
      <c r="J28" s="14"/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2"/>
      <c r="G29" s="11"/>
      <c r="H29" s="11"/>
      <c r="I29" s="13" t="str">
        <f aca="false">IF(OR(B29="",COUNT(B15:B28)&lt;14),"",B29-AVERAGE(B15:B28))</f>
        <v/>
      </c>
      <c r="J29" s="14"/>
    </row>
    <row r="30" customFormat="false" ht="15" hidden="false" customHeight="false" outlineLevel="0" collapsed="false">
      <c r="A30" s="10"/>
      <c r="B30" s="11"/>
      <c r="C30" s="11"/>
      <c r="D30" s="11"/>
      <c r="E30" s="11"/>
      <c r="F30" s="12"/>
      <c r="G30" s="11"/>
      <c r="H30" s="11"/>
      <c r="I30" s="13" t="str">
        <f aca="false">IF(OR(B30="",COUNT(B16:B29)&lt;14),"",B30-AVERAGE(B16:B29))</f>
        <v/>
      </c>
      <c r="J30" s="14"/>
    </row>
    <row r="31" customFormat="false" ht="15" hidden="false" customHeight="false" outlineLevel="0" collapsed="false">
      <c r="A31" s="10"/>
      <c r="B31" s="11"/>
      <c r="C31" s="11"/>
      <c r="D31" s="11"/>
      <c r="E31" s="11"/>
      <c r="F31" s="12"/>
      <c r="G31" s="11"/>
      <c r="H31" s="11"/>
      <c r="I31" s="13" t="str">
        <f aca="false">IF(OR(B31="",COUNT(B17:B30)&lt;14),"",B31-AVERAGE(B17:B30))</f>
        <v/>
      </c>
      <c r="J31" s="14"/>
    </row>
    <row r="32" customFormat="false" ht="15" hidden="false" customHeight="false" outlineLevel="0" collapsed="false">
      <c r="A32" s="10"/>
      <c r="B32" s="11"/>
      <c r="C32" s="11"/>
      <c r="D32" s="11"/>
      <c r="E32" s="11"/>
      <c r="F32" s="12"/>
      <c r="G32" s="11"/>
      <c r="H32" s="11"/>
      <c r="I32" s="13" t="str">
        <f aca="false">IF(OR(B32="",COUNT(B18:B31)&lt;14),"",B32-AVERAGE(B18:B31))</f>
        <v/>
      </c>
      <c r="J32" s="14"/>
    </row>
    <row r="33" customFormat="false" ht="15" hidden="false" customHeight="false" outlineLevel="0" collapsed="false">
      <c r="A33" s="10"/>
      <c r="B33" s="11"/>
      <c r="C33" s="11"/>
      <c r="D33" s="11"/>
      <c r="E33" s="11"/>
      <c r="F33" s="12"/>
      <c r="G33" s="11"/>
      <c r="H33" s="11"/>
      <c r="I33" s="13" t="str">
        <f aca="false">IF(OR(B33="",COUNT(B19:B32)&lt;14),"",B33-AVERAGE(B19:B32))</f>
        <v/>
      </c>
      <c r="J33" s="14"/>
    </row>
    <row r="34" customFormat="false" ht="15" hidden="false" customHeight="false" outlineLevel="0" collapsed="false">
      <c r="A34" s="10"/>
      <c r="B34" s="11"/>
      <c r="C34" s="11"/>
      <c r="D34" s="11"/>
      <c r="E34" s="11"/>
      <c r="F34" s="12"/>
      <c r="G34" s="11"/>
      <c r="H34" s="11"/>
      <c r="I34" s="13" t="str">
        <f aca="false">IF(OR(B34="",COUNT(B20:B33)&lt;14),"",B34-AVERAGE(B20:B33))</f>
        <v/>
      </c>
      <c r="J34" s="14"/>
    </row>
    <row r="35" customFormat="false" ht="15" hidden="false" customHeight="false" outlineLevel="0" collapsed="false">
      <c r="A35" s="10"/>
      <c r="B35" s="11"/>
      <c r="C35" s="11"/>
      <c r="D35" s="11"/>
      <c r="E35" s="11"/>
      <c r="F35" s="12"/>
      <c r="G35" s="11"/>
      <c r="H35" s="11"/>
      <c r="I35" s="13" t="str">
        <f aca="false">IF(OR(B35="",COUNT(B21:B34)&lt;14),"",B35-AVERAGE(B21:B34))</f>
        <v/>
      </c>
      <c r="J35" s="14"/>
    </row>
    <row r="36" customFormat="false" ht="15" hidden="false" customHeight="false" outlineLevel="0" collapsed="false">
      <c r="A36" s="10"/>
      <c r="B36" s="11"/>
      <c r="C36" s="11"/>
      <c r="D36" s="11"/>
      <c r="E36" s="11"/>
      <c r="F36" s="12"/>
      <c r="G36" s="11"/>
      <c r="H36" s="11"/>
      <c r="I36" s="13" t="str">
        <f aca="false">IF(OR(B36="",COUNT(B22:B35)&lt;14),"",B36-AVERAGE(B22:B35))</f>
        <v/>
      </c>
      <c r="J36" s="14"/>
    </row>
    <row r="37" customFormat="false" ht="15" hidden="false" customHeight="false" outlineLevel="0" collapsed="false">
      <c r="A37" s="10"/>
      <c r="B37" s="11"/>
      <c r="C37" s="11"/>
      <c r="D37" s="11"/>
      <c r="E37" s="11"/>
      <c r="F37" s="12"/>
      <c r="G37" s="11"/>
      <c r="H37" s="11"/>
      <c r="I37" s="13" t="str">
        <f aca="false">IF(OR(B37="",COUNT(B23:B36)&lt;14),"",B37-AVERAGE(B23:B36))</f>
        <v/>
      </c>
      <c r="J37" s="14"/>
    </row>
    <row r="38" customFormat="false" ht="15" hidden="false" customHeight="false" outlineLevel="0" collapsed="false">
      <c r="A38" s="10"/>
      <c r="B38" s="11"/>
      <c r="C38" s="11"/>
      <c r="D38" s="11"/>
      <c r="E38" s="11"/>
      <c r="F38" s="12"/>
      <c r="G38" s="11"/>
      <c r="H38" s="11"/>
      <c r="I38" s="13" t="str">
        <f aca="false">IF(OR(B38="",COUNT(B24:B37)&lt;14),"",B38-AVERAGE(B24:B37))</f>
        <v/>
      </c>
      <c r="J38" s="14"/>
    </row>
    <row r="39" customFormat="false" ht="15" hidden="false" customHeight="false" outlineLevel="0" collapsed="false">
      <c r="A39" s="10"/>
      <c r="B39" s="11"/>
      <c r="C39" s="11"/>
      <c r="D39" s="11"/>
      <c r="E39" s="11"/>
      <c r="F39" s="12"/>
      <c r="G39" s="11"/>
      <c r="H39" s="11"/>
      <c r="I39" s="13" t="str">
        <f aca="false">IF(OR(B39="",COUNT(B25:B38)&lt;14),"",B39-AVERAGE(B25:B38))</f>
        <v/>
      </c>
      <c r="J39" s="14"/>
    </row>
    <row r="40" customFormat="false" ht="15" hidden="false" customHeight="false" outlineLevel="0" collapsed="false">
      <c r="A40" s="10"/>
      <c r="B40" s="11"/>
      <c r="C40" s="11"/>
      <c r="D40" s="11"/>
      <c r="E40" s="11"/>
      <c r="F40" s="12"/>
      <c r="G40" s="11"/>
      <c r="H40" s="11"/>
      <c r="I40" s="13" t="str">
        <f aca="false">IF(OR(B40="",COUNT(B26:B39)&lt;14),"",B40-AVERAGE(B26:B39))</f>
        <v/>
      </c>
      <c r="J40" s="14"/>
    </row>
    <row r="41" customFormat="false" ht="15" hidden="false" customHeight="false" outlineLevel="0" collapsed="false">
      <c r="A41" s="10"/>
      <c r="B41" s="11"/>
      <c r="C41" s="11"/>
      <c r="D41" s="11"/>
      <c r="E41" s="11"/>
      <c r="F41" s="12"/>
      <c r="G41" s="11"/>
      <c r="H41" s="11"/>
      <c r="I41" s="13" t="str">
        <f aca="false">IF(OR(B41="",COUNT(B27:B40)&lt;14),"",B41-AVERAGE(B27:B40))</f>
        <v/>
      </c>
      <c r="J41" s="14"/>
    </row>
    <row r="42" customFormat="false" ht="15" hidden="false" customHeight="false" outlineLevel="0" collapsed="false">
      <c r="A42" s="10"/>
      <c r="B42" s="11"/>
      <c r="C42" s="11"/>
      <c r="D42" s="11"/>
      <c r="E42" s="11"/>
      <c r="F42" s="12"/>
      <c r="G42" s="11"/>
      <c r="H42" s="11"/>
      <c r="I42" s="13" t="str">
        <f aca="false">IF(OR(B42="",COUNT(B28:B41)&lt;14),"",B42-AVERAGE(B28:B41))</f>
        <v/>
      </c>
      <c r="J42" s="14"/>
    </row>
    <row r="43" customFormat="false" ht="15" hidden="false" customHeight="false" outlineLevel="0" collapsed="false">
      <c r="A43" s="10"/>
      <c r="B43" s="11"/>
      <c r="C43" s="11"/>
      <c r="D43" s="11"/>
      <c r="E43" s="11"/>
      <c r="F43" s="12"/>
      <c r="G43" s="11"/>
      <c r="H43" s="11"/>
      <c r="I43" s="13" t="str">
        <f aca="false">IF(OR(B43="",COUNT(B29:B42)&lt;14),"",B43-AVERAGE(B29:B42))</f>
        <v/>
      </c>
      <c r="J43" s="14"/>
    </row>
    <row r="44" customFormat="false" ht="15" hidden="false" customHeight="false" outlineLevel="0" collapsed="false">
      <c r="A44" s="10"/>
      <c r="B44" s="11"/>
      <c r="C44" s="11"/>
      <c r="D44" s="11"/>
      <c r="E44" s="11"/>
      <c r="F44" s="12"/>
      <c r="G44" s="11"/>
      <c r="H44" s="11"/>
      <c r="I44" s="13" t="str">
        <f aca="false">IF(OR(B44="",COUNT(B30:B43)&lt;14),"",B44-AVERAGE(B30:B43))</f>
        <v/>
      </c>
      <c r="J44" s="14"/>
    </row>
    <row r="45" customFormat="false" ht="15" hidden="false" customHeight="false" outlineLevel="0" collapsed="false">
      <c r="A45" s="10"/>
      <c r="B45" s="11"/>
      <c r="C45" s="11"/>
      <c r="D45" s="11"/>
      <c r="E45" s="11"/>
      <c r="F45" s="12"/>
      <c r="G45" s="11"/>
      <c r="H45" s="11"/>
      <c r="I45" s="13" t="str">
        <f aca="false">IF(OR(B45="",COUNT(B31:B44)&lt;14),"",B45-AVERAGE(B31:B44))</f>
        <v/>
      </c>
      <c r="J45" s="14"/>
    </row>
    <row r="46" customFormat="false" ht="15" hidden="false" customHeight="false" outlineLevel="0" collapsed="false">
      <c r="A46" s="10"/>
      <c r="B46" s="11"/>
      <c r="C46" s="11"/>
      <c r="D46" s="11"/>
      <c r="E46" s="11"/>
      <c r="F46" s="12"/>
      <c r="G46" s="11"/>
      <c r="H46" s="11"/>
      <c r="I46" s="13" t="str">
        <f aca="false">IF(OR(B46="",COUNT(B32:B45)&lt;14),"",B46-AVERAGE(B32:B45))</f>
        <v/>
      </c>
      <c r="J46" s="14"/>
    </row>
    <row r="47" customFormat="false" ht="15" hidden="false" customHeight="false" outlineLevel="0" collapsed="false">
      <c r="A47" s="10"/>
      <c r="B47" s="11"/>
      <c r="C47" s="11"/>
      <c r="D47" s="11"/>
      <c r="E47" s="11"/>
      <c r="F47" s="12"/>
      <c r="G47" s="11"/>
      <c r="H47" s="11"/>
      <c r="I47" s="13" t="str">
        <f aca="false">IF(OR(B47="",COUNT(B33:B46)&lt;14),"",B47-AVERAGE(B33:B46))</f>
        <v/>
      </c>
      <c r="J47" s="14"/>
    </row>
    <row r="48" customFormat="false" ht="15" hidden="false" customHeight="false" outlineLevel="0" collapsed="false">
      <c r="A48" s="10"/>
      <c r="B48" s="11"/>
      <c r="C48" s="11"/>
      <c r="D48" s="11"/>
      <c r="E48" s="11"/>
      <c r="F48" s="12"/>
      <c r="G48" s="11"/>
      <c r="H48" s="11"/>
      <c r="I48" s="13" t="str">
        <f aca="false">IF(OR(B48="",COUNT(B34:B47)&lt;14),"",B48-AVERAGE(B34:B47))</f>
        <v/>
      </c>
      <c r="J48" s="14"/>
    </row>
    <row r="49" customFormat="false" ht="15" hidden="false" customHeight="false" outlineLevel="0" collapsed="false">
      <c r="A49" s="10"/>
      <c r="B49" s="11"/>
      <c r="C49" s="11"/>
      <c r="D49" s="11"/>
      <c r="E49" s="11"/>
      <c r="F49" s="12"/>
      <c r="G49" s="11"/>
      <c r="H49" s="11"/>
      <c r="I49" s="13" t="str">
        <f aca="false">IF(OR(B49="",COUNT(B35:B48)&lt;14),"",B49-AVERAGE(B35:B48))</f>
        <v/>
      </c>
      <c r="J49" s="14"/>
    </row>
    <row r="50" customFormat="false" ht="15" hidden="false" customHeight="false" outlineLevel="0" collapsed="false">
      <c r="A50" s="10"/>
      <c r="B50" s="11"/>
      <c r="C50" s="11"/>
      <c r="D50" s="11"/>
      <c r="E50" s="11"/>
      <c r="F50" s="12"/>
      <c r="G50" s="11"/>
      <c r="H50" s="11"/>
      <c r="I50" s="13" t="str">
        <f aca="false">IF(OR(B50="",COUNT(B36:B49)&lt;14),"",B50-AVERAGE(B36:B49))</f>
        <v/>
      </c>
      <c r="J50" s="14"/>
    </row>
    <row r="51" customFormat="false" ht="15" hidden="false" customHeight="false" outlineLevel="0" collapsed="false">
      <c r="A51" s="10"/>
      <c r="B51" s="11"/>
      <c r="C51" s="11"/>
      <c r="D51" s="11"/>
      <c r="E51" s="11"/>
      <c r="F51" s="12"/>
      <c r="G51" s="11"/>
      <c r="H51" s="11"/>
      <c r="I51" s="13" t="str">
        <f aca="false">IF(OR(B51="",COUNT(B37:B50)&lt;14),"",B51-AVERAGE(B37:B50))</f>
        <v/>
      </c>
      <c r="J51" s="14"/>
    </row>
    <row r="52" customFormat="false" ht="15" hidden="false" customHeight="false" outlineLevel="0" collapsed="false">
      <c r="A52" s="10"/>
      <c r="B52" s="11"/>
      <c r="C52" s="11"/>
      <c r="D52" s="11"/>
      <c r="E52" s="11"/>
      <c r="F52" s="12"/>
      <c r="G52" s="11"/>
      <c r="H52" s="11"/>
      <c r="I52" s="13" t="str">
        <f aca="false">IF(OR(B52="",COUNT(B38:B51)&lt;14),"",B52-AVERAGE(B38:B51))</f>
        <v/>
      </c>
      <c r="J52" s="14"/>
    </row>
    <row r="53" customFormat="false" ht="15" hidden="false" customHeight="false" outlineLevel="0" collapsed="false">
      <c r="A53" s="10"/>
      <c r="B53" s="11"/>
      <c r="C53" s="11"/>
      <c r="D53" s="11"/>
      <c r="E53" s="11"/>
      <c r="F53" s="12"/>
      <c r="G53" s="11"/>
      <c r="H53" s="11"/>
      <c r="I53" s="13" t="str">
        <f aca="false">IF(OR(B53="",COUNT(B39:B52)&lt;14),"",B53-AVERAGE(B39:B52))</f>
        <v/>
      </c>
      <c r="J53" s="14"/>
    </row>
    <row r="54" customFormat="false" ht="15" hidden="false" customHeight="false" outlineLevel="0" collapsed="false">
      <c r="A54" s="10"/>
      <c r="B54" s="11"/>
      <c r="C54" s="11"/>
      <c r="D54" s="11"/>
      <c r="E54" s="11"/>
      <c r="F54" s="12"/>
      <c r="G54" s="11"/>
      <c r="H54" s="11"/>
      <c r="I54" s="13" t="str">
        <f aca="false">IF(OR(B54="",COUNT(B40:B53)&lt;14),"",B54-AVERAGE(B40:B53))</f>
        <v/>
      </c>
      <c r="J54" s="14"/>
    </row>
    <row r="55" customFormat="false" ht="15" hidden="false" customHeight="false" outlineLevel="0" collapsed="false">
      <c r="A55" s="10"/>
      <c r="B55" s="11"/>
      <c r="C55" s="11"/>
      <c r="D55" s="11"/>
      <c r="E55" s="11"/>
      <c r="F55" s="12"/>
      <c r="G55" s="11"/>
      <c r="H55" s="11"/>
      <c r="I55" s="13" t="str">
        <f aca="false">IF(OR(B55="",COUNT(B41:B54)&lt;14),"",B55-AVERAGE(B41:B54))</f>
        <v/>
      </c>
      <c r="J55" s="14"/>
    </row>
    <row r="56" customFormat="false" ht="15" hidden="false" customHeight="false" outlineLevel="0" collapsed="false">
      <c r="A56" s="10"/>
      <c r="B56" s="11"/>
      <c r="C56" s="11"/>
      <c r="D56" s="11"/>
      <c r="E56" s="11"/>
      <c r="F56" s="12"/>
      <c r="G56" s="11"/>
      <c r="H56" s="11"/>
      <c r="I56" s="13" t="str">
        <f aca="false">IF(OR(B56="",COUNT(B42:B55)&lt;14),"",B56-AVERAGE(B42:B55))</f>
        <v/>
      </c>
      <c r="J56" s="14"/>
    </row>
    <row r="57" customFormat="false" ht="15" hidden="false" customHeight="false" outlineLevel="0" collapsed="false">
      <c r="A57" s="10"/>
      <c r="B57" s="11"/>
      <c r="C57" s="11"/>
      <c r="D57" s="11"/>
      <c r="E57" s="11"/>
      <c r="F57" s="12"/>
      <c r="G57" s="11"/>
      <c r="H57" s="11"/>
      <c r="I57" s="13" t="str">
        <f aca="false">IF(OR(B57="",COUNT(B43:B56)&lt;14),"",B57-AVERAGE(B43:B56))</f>
        <v/>
      </c>
      <c r="J57" s="14"/>
    </row>
    <row r="58" customFormat="false" ht="15" hidden="false" customHeight="false" outlineLevel="0" collapsed="false">
      <c r="A58" s="10"/>
      <c r="B58" s="11"/>
      <c r="C58" s="11"/>
      <c r="D58" s="11"/>
      <c r="E58" s="11"/>
      <c r="F58" s="12"/>
      <c r="G58" s="11"/>
      <c r="H58" s="11"/>
      <c r="I58" s="13" t="str">
        <f aca="false">IF(OR(B58="",COUNT(B44:B57)&lt;14),"",B58-AVERAGE(B44:B57))</f>
        <v/>
      </c>
      <c r="J58" s="14"/>
    </row>
    <row r="59" customFormat="false" ht="15" hidden="false" customHeight="false" outlineLevel="0" collapsed="false">
      <c r="A59" s="10"/>
      <c r="B59" s="11"/>
      <c r="C59" s="11"/>
      <c r="D59" s="11"/>
      <c r="E59" s="11"/>
      <c r="F59" s="12"/>
      <c r="G59" s="11"/>
      <c r="H59" s="11"/>
      <c r="I59" s="13" t="str">
        <f aca="false">IF(OR(B59="",COUNT(B45:B58)&lt;14),"",B59-AVERAGE(B45:B58))</f>
        <v/>
      </c>
      <c r="J59" s="14"/>
    </row>
    <row r="60" customFormat="false" ht="15" hidden="false" customHeight="false" outlineLevel="0" collapsed="false">
      <c r="A60" s="10"/>
      <c r="B60" s="11"/>
      <c r="C60" s="11"/>
      <c r="D60" s="11"/>
      <c r="E60" s="11"/>
      <c r="F60" s="12"/>
      <c r="G60" s="11"/>
      <c r="H60" s="11"/>
      <c r="I60" s="13" t="str">
        <f aca="false">IF(OR(B60="",COUNT(B46:B59)&lt;14),"",B60-AVERAGE(B46:B59))</f>
        <v/>
      </c>
      <c r="J60" s="14"/>
    </row>
    <row r="61" customFormat="false" ht="15" hidden="false" customHeight="false" outlineLevel="0" collapsed="false">
      <c r="A61" s="10"/>
      <c r="B61" s="11"/>
      <c r="C61" s="11"/>
      <c r="D61" s="11"/>
      <c r="E61" s="11"/>
      <c r="F61" s="12"/>
      <c r="G61" s="11"/>
      <c r="H61" s="11"/>
      <c r="I61" s="13" t="str">
        <f aca="false">IF(OR(B61="",COUNT(B47:B60)&lt;14),"",B61-AVERAGE(B47:B60))</f>
        <v/>
      </c>
      <c r="J61" s="14"/>
    </row>
    <row r="62" customFormat="false" ht="15" hidden="false" customHeight="false" outlineLevel="0" collapsed="false">
      <c r="A62" s="10"/>
      <c r="B62" s="11"/>
      <c r="C62" s="11"/>
      <c r="D62" s="11"/>
      <c r="E62" s="11"/>
      <c r="F62" s="12"/>
      <c r="G62" s="11"/>
      <c r="H62" s="11"/>
      <c r="I62" s="13" t="str">
        <f aca="false">IF(OR(B62="",COUNT(B48:B61)&lt;14),"",B62-AVERAGE(B48:B61))</f>
        <v/>
      </c>
      <c r="J62" s="14"/>
    </row>
    <row r="63" customFormat="false" ht="15" hidden="false" customHeight="false" outlineLevel="0" collapsed="false">
      <c r="A63" s="10"/>
      <c r="B63" s="11"/>
      <c r="C63" s="11"/>
      <c r="D63" s="11"/>
      <c r="E63" s="11"/>
      <c r="F63" s="12"/>
      <c r="G63" s="11"/>
      <c r="H63" s="11"/>
      <c r="I63" s="13" t="str">
        <f aca="false">IF(OR(B63="",COUNT(B49:B62)&lt;14),"",B63-AVERAGE(B49:B62))</f>
        <v/>
      </c>
      <c r="J63" s="14"/>
    </row>
    <row r="64" customFormat="false" ht="15" hidden="false" customHeight="false" outlineLevel="0" collapsed="false">
      <c r="A64" s="10"/>
      <c r="B64" s="11"/>
      <c r="C64" s="11"/>
      <c r="D64" s="11"/>
      <c r="E64" s="11"/>
      <c r="F64" s="12"/>
      <c r="G64" s="11"/>
      <c r="H64" s="11"/>
      <c r="I64" s="13" t="str">
        <f aca="false">IF(OR(B64="",COUNT(B50:B63)&lt;14),"",B64-AVERAGE(B50:B63))</f>
        <v/>
      </c>
      <c r="J64" s="14"/>
    </row>
    <row r="65" customFormat="false" ht="15" hidden="false" customHeight="false" outlineLevel="0" collapsed="false">
      <c r="A65" s="10"/>
      <c r="B65" s="11"/>
      <c r="C65" s="11"/>
      <c r="D65" s="11"/>
      <c r="E65" s="11"/>
      <c r="F65" s="12"/>
      <c r="G65" s="11"/>
      <c r="H65" s="11"/>
      <c r="I65" s="13" t="str">
        <f aca="false">IF(OR(B65="",COUNT(B51:B64)&lt;14),"",B65-AVERAGE(B51:B64))</f>
        <v/>
      </c>
      <c r="J65" s="14"/>
    </row>
    <row r="66" customFormat="false" ht="15" hidden="false" customHeight="false" outlineLevel="0" collapsed="false">
      <c r="A66" s="10"/>
      <c r="B66" s="11"/>
      <c r="C66" s="11"/>
      <c r="D66" s="11"/>
      <c r="E66" s="11"/>
      <c r="F66" s="12"/>
      <c r="G66" s="11"/>
      <c r="H66" s="11"/>
      <c r="I66" s="13" t="str">
        <f aca="false">IF(OR(B66="",COUNT(B52:B65)&lt;14),"",B66-AVERAGE(B52:B65))</f>
        <v/>
      </c>
      <c r="J66" s="14"/>
    </row>
    <row r="67" customFormat="false" ht="15" hidden="false" customHeight="false" outlineLevel="0" collapsed="false">
      <c r="A67" s="10"/>
      <c r="B67" s="11"/>
      <c r="C67" s="11"/>
      <c r="D67" s="11"/>
      <c r="E67" s="11"/>
      <c r="F67" s="12"/>
      <c r="G67" s="11"/>
      <c r="H67" s="11"/>
      <c r="I67" s="13" t="str">
        <f aca="false">IF(OR(B67="",COUNT(B53:B66)&lt;14),"",B67-AVERAGE(B53:B66))</f>
        <v/>
      </c>
      <c r="J67" s="14"/>
    </row>
    <row r="68" customFormat="false" ht="15" hidden="false" customHeight="false" outlineLevel="0" collapsed="false">
      <c r="A68" s="10"/>
      <c r="B68" s="11"/>
      <c r="C68" s="11"/>
      <c r="D68" s="11"/>
      <c r="E68" s="11"/>
      <c r="F68" s="12"/>
      <c r="G68" s="11"/>
      <c r="H68" s="11"/>
      <c r="I68" s="13" t="str">
        <f aca="false">IF(OR(B68="",COUNT(B54:B67)&lt;14),"",B68-AVERAGE(B54:B67))</f>
        <v/>
      </c>
      <c r="J68" s="14"/>
    </row>
    <row r="69" customFormat="false" ht="15" hidden="false" customHeight="false" outlineLevel="0" collapsed="false">
      <c r="A69" s="10"/>
      <c r="B69" s="11"/>
      <c r="C69" s="11"/>
      <c r="D69" s="11"/>
      <c r="E69" s="11"/>
      <c r="F69" s="12"/>
      <c r="G69" s="11"/>
      <c r="H69" s="11"/>
      <c r="I69" s="13" t="str">
        <f aca="false">IF(OR(B69="",COUNT(B55:B68)&lt;14),"",B69-AVERAGE(B55:B68))</f>
        <v/>
      </c>
      <c r="J69" s="14"/>
    </row>
    <row r="70" customFormat="false" ht="15" hidden="false" customHeight="false" outlineLevel="0" collapsed="false">
      <c r="A70" s="10"/>
      <c r="B70" s="11"/>
      <c r="C70" s="11"/>
      <c r="D70" s="11"/>
      <c r="E70" s="11"/>
      <c r="F70" s="12"/>
      <c r="G70" s="11"/>
      <c r="H70" s="11"/>
      <c r="I70" s="13" t="str">
        <f aca="false">IF(OR(B70="",COUNT(B56:B69)&lt;14),"",B70-AVERAGE(B56:B69))</f>
        <v/>
      </c>
      <c r="J70" s="14"/>
    </row>
    <row r="71" customFormat="false" ht="15" hidden="false" customHeight="false" outlineLevel="0" collapsed="false">
      <c r="A71" s="10"/>
      <c r="B71" s="11"/>
      <c r="C71" s="11"/>
      <c r="D71" s="11"/>
      <c r="E71" s="11"/>
      <c r="F71" s="12"/>
      <c r="G71" s="11"/>
      <c r="H71" s="11"/>
      <c r="I71" s="13" t="str">
        <f aca="false">IF(OR(B71="",COUNT(B57:B70)&lt;14),"",B71-AVERAGE(B57:B70))</f>
        <v/>
      </c>
      <c r="J71" s="14"/>
    </row>
    <row r="72" customFormat="false" ht="15" hidden="false" customHeight="false" outlineLevel="0" collapsed="false">
      <c r="A72" s="10"/>
      <c r="B72" s="11"/>
      <c r="C72" s="11"/>
      <c r="D72" s="11"/>
      <c r="E72" s="11"/>
      <c r="F72" s="12"/>
      <c r="G72" s="11"/>
      <c r="H72" s="11"/>
      <c r="I72" s="13" t="str">
        <f aca="false">IF(OR(B72="",COUNT(B58:B71)&lt;14),"",B72-AVERAGE(B58:B71))</f>
        <v/>
      </c>
      <c r="J72" s="14"/>
    </row>
    <row r="73" customFormat="false" ht="15" hidden="false" customHeight="false" outlineLevel="0" collapsed="false">
      <c r="A73" s="10"/>
      <c r="B73" s="11"/>
      <c r="C73" s="11"/>
      <c r="D73" s="11"/>
      <c r="E73" s="11"/>
      <c r="F73" s="12"/>
      <c r="G73" s="11"/>
      <c r="H73" s="11"/>
      <c r="I73" s="13" t="str">
        <f aca="false">IF(OR(B73="",COUNT(B59:B72)&lt;14),"",B73-AVERAGE(B59:B72))</f>
        <v/>
      </c>
      <c r="J73" s="14"/>
    </row>
    <row r="74" customFormat="false" ht="15" hidden="false" customHeight="false" outlineLevel="0" collapsed="false">
      <c r="A74" s="10"/>
      <c r="B74" s="11"/>
      <c r="C74" s="11"/>
      <c r="D74" s="11"/>
      <c r="E74" s="11"/>
      <c r="F74" s="12"/>
      <c r="G74" s="11"/>
      <c r="H74" s="11"/>
      <c r="I74" s="13" t="str">
        <f aca="false">IF(OR(B74="",COUNT(B60:B73)&lt;14),"",B74-AVERAGE(B60:B73))</f>
        <v/>
      </c>
      <c r="J74" s="14"/>
    </row>
    <row r="75" customFormat="false" ht="15" hidden="false" customHeight="false" outlineLevel="0" collapsed="false">
      <c r="A75" s="10"/>
      <c r="B75" s="11"/>
      <c r="C75" s="11"/>
      <c r="D75" s="11"/>
      <c r="E75" s="11"/>
      <c r="F75" s="12"/>
      <c r="G75" s="11"/>
      <c r="H75" s="11"/>
      <c r="I75" s="13" t="str">
        <f aca="false">IF(OR(B75="",COUNT(B61:B74)&lt;14),"",B75-AVERAGE(B61:B74))</f>
        <v/>
      </c>
      <c r="J75" s="14"/>
    </row>
    <row r="76" customFormat="false" ht="15" hidden="false" customHeight="false" outlineLevel="0" collapsed="false">
      <c r="A76" s="10"/>
      <c r="B76" s="11"/>
      <c r="C76" s="11"/>
      <c r="D76" s="11"/>
      <c r="E76" s="11"/>
      <c r="F76" s="12"/>
      <c r="G76" s="11"/>
      <c r="H76" s="11"/>
      <c r="I76" s="13" t="str">
        <f aca="false">IF(OR(B76="",COUNT(B62:B75)&lt;14),"",B76-AVERAGE(B62:B75))</f>
        <v/>
      </c>
      <c r="J76" s="14"/>
    </row>
    <row r="77" customFormat="false" ht="15" hidden="false" customHeight="false" outlineLevel="0" collapsed="false">
      <c r="A77" s="10"/>
      <c r="B77" s="11"/>
      <c r="C77" s="11"/>
      <c r="D77" s="11"/>
      <c r="E77" s="11"/>
      <c r="F77" s="12"/>
      <c r="G77" s="11"/>
      <c r="H77" s="11"/>
      <c r="I77" s="13" t="str">
        <f aca="false">IF(OR(B77="",COUNT(B63:B76)&lt;14),"",B77-AVERAGE(B63:B76))</f>
        <v/>
      </c>
      <c r="J77" s="14"/>
    </row>
    <row r="78" customFormat="false" ht="15" hidden="false" customHeight="false" outlineLevel="0" collapsed="false">
      <c r="A78" s="10"/>
      <c r="B78" s="11"/>
      <c r="C78" s="11"/>
      <c r="D78" s="11"/>
      <c r="E78" s="11"/>
      <c r="F78" s="12"/>
      <c r="G78" s="11"/>
      <c r="H78" s="11"/>
      <c r="I78" s="13" t="str">
        <f aca="false">IF(OR(B78="",COUNT(B64:B77)&lt;14),"",B78-AVERAGE(B64:B77))</f>
        <v/>
      </c>
      <c r="J78" s="14"/>
    </row>
    <row r="79" customFormat="false" ht="15" hidden="false" customHeight="false" outlineLevel="0" collapsed="false">
      <c r="A79" s="10"/>
      <c r="B79" s="11"/>
      <c r="C79" s="11"/>
      <c r="D79" s="11"/>
      <c r="E79" s="11"/>
      <c r="F79" s="12"/>
      <c r="G79" s="11"/>
      <c r="H79" s="11"/>
      <c r="I79" s="13" t="str">
        <f aca="false">IF(OR(B79="",COUNT(B65:B78)&lt;14),"",B79-AVERAGE(B65:B78))</f>
        <v/>
      </c>
      <c r="J79" s="14"/>
    </row>
    <row r="80" customFormat="false" ht="15" hidden="false" customHeight="false" outlineLevel="0" collapsed="false">
      <c r="A80" s="10"/>
      <c r="B80" s="11"/>
      <c r="C80" s="11"/>
      <c r="D80" s="11"/>
      <c r="E80" s="11"/>
      <c r="F80" s="12"/>
      <c r="G80" s="11"/>
      <c r="H80" s="11"/>
      <c r="I80" s="13" t="str">
        <f aca="false">IF(OR(B80="",COUNT(B66:B79)&lt;14),"",B80-AVERAGE(B66:B79))</f>
        <v/>
      </c>
      <c r="J80" s="14"/>
    </row>
    <row r="81" customFormat="false" ht="15" hidden="false" customHeight="false" outlineLevel="0" collapsed="false">
      <c r="A81" s="10"/>
      <c r="B81" s="11"/>
      <c r="C81" s="11"/>
      <c r="D81" s="11"/>
      <c r="E81" s="11"/>
      <c r="F81" s="12"/>
      <c r="G81" s="11"/>
      <c r="H81" s="11"/>
      <c r="I81" s="13" t="str">
        <f aca="false">IF(OR(B81="",COUNT(B67:B80)&lt;14),"",B81-AVERAGE(B67:B80))</f>
        <v/>
      </c>
      <c r="J81" s="14"/>
    </row>
    <row r="82" customFormat="false" ht="15" hidden="false" customHeight="false" outlineLevel="0" collapsed="false">
      <c r="A82" s="10"/>
      <c r="B82" s="11"/>
      <c r="C82" s="11"/>
      <c r="D82" s="11"/>
      <c r="E82" s="11"/>
      <c r="F82" s="12"/>
      <c r="G82" s="11"/>
      <c r="H82" s="11"/>
      <c r="I82" s="13" t="str">
        <f aca="false">IF(OR(B82="",COUNT(B68:B81)&lt;14),"",B82-AVERAGE(B68:B81))</f>
        <v/>
      </c>
      <c r="J82" s="14"/>
    </row>
    <row r="83" customFormat="false" ht="15" hidden="false" customHeight="false" outlineLevel="0" collapsed="false">
      <c r="A83" s="10"/>
      <c r="B83" s="11"/>
      <c r="C83" s="11"/>
      <c r="D83" s="11"/>
      <c r="E83" s="11"/>
      <c r="F83" s="12"/>
      <c r="G83" s="11"/>
      <c r="H83" s="11"/>
      <c r="I83" s="13" t="str">
        <f aca="false">IF(OR(B83="",COUNT(B69:B82)&lt;14),"",B83-AVERAGE(B69:B82))</f>
        <v/>
      </c>
      <c r="J83" s="14"/>
    </row>
    <row r="84" customFormat="false" ht="15" hidden="false" customHeight="false" outlineLevel="0" collapsed="false">
      <c r="A84" s="10"/>
      <c r="B84" s="11"/>
      <c r="C84" s="11"/>
      <c r="D84" s="11"/>
      <c r="E84" s="11"/>
      <c r="F84" s="12"/>
      <c r="G84" s="11"/>
      <c r="H84" s="11"/>
      <c r="I84" s="13" t="str">
        <f aca="false">IF(OR(B84="",COUNT(B70:B83)&lt;14),"",B84-AVERAGE(B70:B83))</f>
        <v/>
      </c>
      <c r="J84" s="14"/>
    </row>
    <row r="85" customFormat="false" ht="15" hidden="false" customHeight="false" outlineLevel="0" collapsed="false">
      <c r="A85" s="10"/>
      <c r="B85" s="11"/>
      <c r="C85" s="11"/>
      <c r="D85" s="11"/>
      <c r="E85" s="11"/>
      <c r="F85" s="12"/>
      <c r="G85" s="11"/>
      <c r="H85" s="11"/>
      <c r="I85" s="13" t="str">
        <f aca="false">IF(OR(B85="",COUNT(B71:B84)&lt;14),"",B85-AVERAGE(B71:B84))</f>
        <v/>
      </c>
      <c r="J85" s="14"/>
    </row>
    <row r="86" customFormat="false" ht="15" hidden="false" customHeight="false" outlineLevel="0" collapsed="false">
      <c r="A86" s="10"/>
      <c r="B86" s="11"/>
      <c r="C86" s="11"/>
      <c r="D86" s="11"/>
      <c r="E86" s="11"/>
      <c r="F86" s="12"/>
      <c r="G86" s="11"/>
      <c r="H86" s="11"/>
      <c r="I86" s="13" t="str">
        <f aca="false">IF(OR(B86="",COUNT(B72:B85)&lt;14),"",B86-AVERAGE(B72:B85))</f>
        <v/>
      </c>
      <c r="J86" s="14"/>
    </row>
    <row r="87" customFormat="false" ht="15" hidden="false" customHeight="false" outlineLevel="0" collapsed="false">
      <c r="A87" s="10"/>
      <c r="B87" s="11"/>
      <c r="C87" s="11"/>
      <c r="D87" s="11"/>
      <c r="E87" s="11"/>
      <c r="F87" s="12"/>
      <c r="G87" s="11"/>
      <c r="H87" s="11"/>
      <c r="I87" s="13" t="str">
        <f aca="false">IF(OR(B87="",COUNT(B73:B86)&lt;14),"",B87-AVERAGE(B73:B86))</f>
        <v/>
      </c>
      <c r="J87" s="14"/>
    </row>
    <row r="88" customFormat="false" ht="15" hidden="false" customHeight="false" outlineLevel="0" collapsed="false">
      <c r="A88" s="10"/>
      <c r="B88" s="11"/>
      <c r="C88" s="11"/>
      <c r="D88" s="11"/>
      <c r="E88" s="11"/>
      <c r="F88" s="12"/>
      <c r="G88" s="11"/>
      <c r="H88" s="11"/>
      <c r="I88" s="13" t="str">
        <f aca="false">IF(OR(B88="",COUNT(B74:B87)&lt;14),"",B88-AVERAGE(B74:B87))</f>
        <v/>
      </c>
      <c r="J88" s="14"/>
    </row>
    <row r="89" customFormat="false" ht="15" hidden="false" customHeight="false" outlineLevel="0" collapsed="false">
      <c r="A89" s="10"/>
      <c r="B89" s="11"/>
      <c r="C89" s="11"/>
      <c r="D89" s="11"/>
      <c r="E89" s="11"/>
      <c r="F89" s="12"/>
      <c r="G89" s="11"/>
      <c r="H89" s="11"/>
      <c r="I89" s="13" t="str">
        <f aca="false">IF(OR(B89="",COUNT(B75:B88)&lt;14),"",B89-AVERAGE(B75:B88))</f>
        <v/>
      </c>
      <c r="J89" s="14"/>
    </row>
    <row r="90" customFormat="false" ht="15" hidden="false" customHeight="false" outlineLevel="0" collapsed="false">
      <c r="A90" s="10"/>
      <c r="B90" s="11"/>
      <c r="C90" s="11"/>
      <c r="D90" s="11"/>
      <c r="E90" s="11"/>
      <c r="F90" s="12"/>
      <c r="G90" s="11"/>
      <c r="H90" s="11"/>
      <c r="I90" s="13" t="str">
        <f aca="false">IF(OR(B90="",COUNT(B76:B89)&lt;14),"",B90-AVERAGE(B76:B89))</f>
        <v/>
      </c>
      <c r="J90" s="14"/>
    </row>
    <row r="91" customFormat="false" ht="15" hidden="false" customHeight="false" outlineLevel="0" collapsed="false">
      <c r="A91" s="10"/>
      <c r="B91" s="11"/>
      <c r="C91" s="11"/>
      <c r="D91" s="11"/>
      <c r="E91" s="11"/>
      <c r="F91" s="12"/>
      <c r="G91" s="11"/>
      <c r="H91" s="11"/>
      <c r="I91" s="13" t="str">
        <f aca="false">IF(OR(B91="",COUNT(B77:B90)&lt;14),"",B91-AVERAGE(B77:B90))</f>
        <v/>
      </c>
      <c r="J91" s="14"/>
    </row>
    <row r="92" customFormat="false" ht="15" hidden="false" customHeight="false" outlineLevel="0" collapsed="false">
      <c r="A92" s="10"/>
      <c r="B92" s="11"/>
      <c r="C92" s="11"/>
      <c r="D92" s="11"/>
      <c r="E92" s="11"/>
      <c r="F92" s="12"/>
      <c r="G92" s="11"/>
      <c r="H92" s="11"/>
      <c r="I92" s="13" t="str">
        <f aca="false">IF(OR(B92="",COUNT(B78:B91)&lt;14),"",B92-AVERAGE(B78:B91))</f>
        <v/>
      </c>
      <c r="J92" s="14"/>
    </row>
    <row r="93" customFormat="false" ht="15" hidden="false" customHeight="false" outlineLevel="0" collapsed="false">
      <c r="A93" s="10"/>
      <c r="B93" s="11"/>
      <c r="C93" s="11"/>
      <c r="D93" s="11"/>
      <c r="E93" s="11"/>
      <c r="F93" s="12"/>
      <c r="G93" s="11"/>
      <c r="H93" s="11"/>
      <c r="I93" s="13" t="str">
        <f aca="false">IF(OR(B93="",COUNT(B79:B92)&lt;14),"",B93-AVERAGE(B79:B92))</f>
        <v/>
      </c>
      <c r="J93" s="14"/>
    </row>
    <row r="94" customFormat="false" ht="15" hidden="false" customHeight="false" outlineLevel="0" collapsed="false">
      <c r="A94" s="10"/>
      <c r="B94" s="11"/>
      <c r="C94" s="11"/>
      <c r="D94" s="11"/>
      <c r="E94" s="11"/>
      <c r="F94" s="12"/>
      <c r="G94" s="11"/>
      <c r="H94" s="11"/>
      <c r="I94" s="13" t="str">
        <f aca="false">IF(OR(B94="",COUNT(B80:B93)&lt;14),"",B94-AVERAGE(B80:B93))</f>
        <v/>
      </c>
      <c r="J94" s="14"/>
    </row>
    <row r="95" customFormat="false" ht="15" hidden="false" customHeight="false" outlineLevel="0" collapsed="false">
      <c r="A95" s="10"/>
      <c r="B95" s="11"/>
      <c r="C95" s="11"/>
      <c r="D95" s="11"/>
      <c r="E95" s="11"/>
      <c r="F95" s="12"/>
      <c r="G95" s="11"/>
      <c r="H95" s="11"/>
      <c r="I95" s="13" t="str">
        <f aca="false">IF(OR(B95="",COUNT(B81:B94)&lt;14),"",B95-AVERAGE(B81:B94))</f>
        <v/>
      </c>
      <c r="J95" s="14"/>
    </row>
    <row r="96" customFormat="false" ht="15" hidden="false" customHeight="false" outlineLevel="0" collapsed="false">
      <c r="A96" s="10"/>
      <c r="B96" s="11"/>
      <c r="C96" s="11"/>
      <c r="D96" s="11"/>
      <c r="E96" s="11"/>
      <c r="F96" s="12"/>
      <c r="G96" s="11"/>
      <c r="H96" s="11"/>
      <c r="I96" s="13" t="str">
        <f aca="false">IF(OR(B96="",COUNT(B82:B95)&lt;14),"",B96-AVERAGE(B82:B95))</f>
        <v/>
      </c>
      <c r="J96" s="14"/>
    </row>
    <row r="97" customFormat="false" ht="15" hidden="false" customHeight="false" outlineLevel="0" collapsed="false">
      <c r="A97" s="10"/>
      <c r="B97" s="11"/>
      <c r="C97" s="11"/>
      <c r="D97" s="11"/>
      <c r="E97" s="11"/>
      <c r="F97" s="12"/>
      <c r="G97" s="11"/>
      <c r="H97" s="11"/>
      <c r="I97" s="13" t="str">
        <f aca="false">IF(OR(B97="",COUNT(B83:B96)&lt;14),"",B97-AVERAGE(B83:B96))</f>
        <v/>
      </c>
      <c r="J97" s="14"/>
    </row>
    <row r="98" customFormat="false" ht="15" hidden="false" customHeight="false" outlineLevel="0" collapsed="false">
      <c r="A98" s="10"/>
      <c r="B98" s="11"/>
      <c r="C98" s="11"/>
      <c r="D98" s="11"/>
      <c r="E98" s="11"/>
      <c r="F98" s="12"/>
      <c r="G98" s="11"/>
      <c r="H98" s="11"/>
      <c r="I98" s="13" t="str">
        <f aca="false">IF(OR(B98="",COUNT(B84:B97)&lt;14),"",B98-AVERAGE(B84:B97))</f>
        <v/>
      </c>
      <c r="J98" s="14"/>
    </row>
    <row r="99" customFormat="false" ht="15" hidden="false" customHeight="false" outlineLevel="0" collapsed="false">
      <c r="A99" s="10"/>
      <c r="B99" s="11"/>
      <c r="C99" s="11"/>
      <c r="D99" s="11"/>
      <c r="E99" s="11"/>
      <c r="F99" s="12"/>
      <c r="G99" s="11"/>
      <c r="H99" s="11"/>
      <c r="I99" s="13" t="str">
        <f aca="false">IF(OR(B99="",COUNT(B85:B98)&lt;14),"",B99-AVERAGE(B85:B98))</f>
        <v/>
      </c>
      <c r="J99" s="14"/>
    </row>
    <row r="100" customFormat="false" ht="15" hidden="false" customHeight="false" outlineLevel="0" collapsed="false">
      <c r="A100" s="10"/>
      <c r="B100" s="11"/>
      <c r="C100" s="11"/>
      <c r="D100" s="11"/>
      <c r="E100" s="11"/>
      <c r="F100" s="12"/>
      <c r="G100" s="11"/>
      <c r="H100" s="11"/>
      <c r="I100" s="13" t="str">
        <f aca="false">IF(OR(B100="",COUNT(B86:B99)&lt;14),"",B100-AVERAGE(B86:B99))</f>
        <v/>
      </c>
      <c r="J100" s="14"/>
    </row>
    <row r="101" customFormat="false" ht="15" hidden="false" customHeight="false" outlineLevel="0" collapsed="false">
      <c r="A101" s="10"/>
      <c r="B101" s="11"/>
      <c r="C101" s="11"/>
      <c r="D101" s="11"/>
      <c r="E101" s="11"/>
      <c r="F101" s="12"/>
      <c r="G101" s="11"/>
      <c r="H101" s="11"/>
      <c r="I101" s="13" t="str">
        <f aca="false">IF(OR(B101="",COUNT(B87:B100)&lt;14),"",B101-AVERAGE(B87:B100))</f>
        <v/>
      </c>
      <c r="J101" s="14"/>
    </row>
    <row r="102" customFormat="false" ht="15" hidden="false" customHeight="false" outlineLevel="0" collapsed="false">
      <c r="A102" s="10"/>
      <c r="B102" s="11"/>
      <c r="C102" s="11"/>
      <c r="D102" s="11"/>
      <c r="E102" s="11"/>
      <c r="F102" s="12"/>
      <c r="G102" s="11"/>
      <c r="H102" s="11"/>
      <c r="I102" s="13" t="str">
        <f aca="false">IF(OR(B102="",COUNT(B88:B101)&lt;14),"",B102-AVERAGE(B88:B101))</f>
        <v/>
      </c>
      <c r="J102" s="14"/>
    </row>
    <row r="103" customFormat="false" ht="15" hidden="false" customHeight="false" outlineLevel="0" collapsed="false">
      <c r="A103" s="10"/>
      <c r="B103" s="11"/>
      <c r="C103" s="11"/>
      <c r="D103" s="11"/>
      <c r="E103" s="11"/>
      <c r="F103" s="12"/>
      <c r="G103" s="11"/>
      <c r="H103" s="11"/>
      <c r="I103" s="13" t="str">
        <f aca="false">IF(OR(B103="",COUNT(B89:B102)&lt;14),"",B103-AVERAGE(B89:B102))</f>
        <v/>
      </c>
      <c r="J103" s="14"/>
    </row>
    <row r="104" customFormat="false" ht="15" hidden="false" customHeight="false" outlineLevel="0" collapsed="false">
      <c r="A104" s="10"/>
      <c r="B104" s="11"/>
      <c r="C104" s="11"/>
      <c r="D104" s="11"/>
      <c r="E104" s="11"/>
      <c r="F104" s="12"/>
      <c r="G104" s="11"/>
      <c r="H104" s="11"/>
      <c r="I104" s="13" t="str">
        <f aca="false">IF(OR(B104="",COUNT(B90:B103)&lt;14),"",B104-AVERAGE(B90:B103))</f>
        <v/>
      </c>
      <c r="J104" s="14"/>
    </row>
    <row r="105" customFormat="false" ht="15" hidden="false" customHeight="false" outlineLevel="0" collapsed="false">
      <c r="A105" s="10"/>
      <c r="B105" s="11"/>
      <c r="C105" s="11"/>
      <c r="D105" s="11"/>
      <c r="E105" s="11"/>
      <c r="F105" s="12"/>
      <c r="G105" s="11"/>
      <c r="H105" s="11"/>
      <c r="I105" s="13" t="str">
        <f aca="false">IF(OR(B105="",COUNT(B91:B104)&lt;14),"",B105-AVERAGE(B91:B104))</f>
        <v/>
      </c>
      <c r="J105" s="14"/>
    </row>
    <row r="106" customFormat="false" ht="15" hidden="false" customHeight="false" outlineLevel="0" collapsed="false">
      <c r="A106" s="10"/>
      <c r="B106" s="11"/>
      <c r="C106" s="11"/>
      <c r="D106" s="11"/>
      <c r="E106" s="11"/>
      <c r="F106" s="12"/>
      <c r="G106" s="11"/>
      <c r="H106" s="11"/>
      <c r="I106" s="13" t="str">
        <f aca="false">IF(OR(B106="",COUNT(B92:B105)&lt;14),"",B106-AVERAGE(B92:B105))</f>
        <v/>
      </c>
      <c r="J106" s="14"/>
    </row>
    <row r="107" customFormat="false" ht="15" hidden="false" customHeight="false" outlineLevel="0" collapsed="false">
      <c r="A107" s="10"/>
      <c r="B107" s="11"/>
      <c r="C107" s="11"/>
      <c r="D107" s="11"/>
      <c r="E107" s="11"/>
      <c r="F107" s="12"/>
      <c r="G107" s="11"/>
      <c r="H107" s="11"/>
      <c r="I107" s="13" t="str">
        <f aca="false">IF(OR(B107="",COUNT(B93:B106)&lt;14),"",B107-AVERAGE(B93:B106))</f>
        <v/>
      </c>
      <c r="J107" s="14"/>
    </row>
    <row r="108" customFormat="false" ht="15" hidden="false" customHeight="false" outlineLevel="0" collapsed="false">
      <c r="A108" s="10"/>
      <c r="B108" s="11"/>
      <c r="C108" s="11"/>
      <c r="D108" s="11"/>
      <c r="E108" s="11"/>
      <c r="F108" s="12"/>
      <c r="G108" s="11"/>
      <c r="H108" s="11"/>
      <c r="I108" s="13" t="str">
        <f aca="false">IF(OR(B108="",COUNT(B94:B107)&lt;14),"",B108-AVERAGE(B94:B107))</f>
        <v/>
      </c>
      <c r="J108" s="14"/>
    </row>
    <row r="109" customFormat="false" ht="15" hidden="false" customHeight="false" outlineLevel="0" collapsed="false">
      <c r="A109" s="10"/>
      <c r="B109" s="11"/>
      <c r="C109" s="11"/>
      <c r="D109" s="11"/>
      <c r="E109" s="11"/>
      <c r="F109" s="12"/>
      <c r="G109" s="11"/>
      <c r="H109" s="11"/>
      <c r="I109" s="13" t="str">
        <f aca="false">IF(OR(B109="",COUNT(B95:B108)&lt;14),"",B109-AVERAGE(B95:B108))</f>
        <v/>
      </c>
      <c r="J109" s="14"/>
    </row>
    <row r="110" customFormat="false" ht="15" hidden="false" customHeight="false" outlineLevel="0" collapsed="false">
      <c r="A110" s="10"/>
      <c r="B110" s="11"/>
      <c r="C110" s="11"/>
      <c r="D110" s="11"/>
      <c r="E110" s="11"/>
      <c r="F110" s="12"/>
      <c r="G110" s="11"/>
      <c r="H110" s="11"/>
      <c r="I110" s="13" t="str">
        <f aca="false">IF(OR(B110="",COUNT(B96:B109)&lt;14),"",B110-AVERAGE(B96:B109))</f>
        <v/>
      </c>
      <c r="J110" s="14"/>
    </row>
    <row r="111" customFormat="false" ht="15" hidden="false" customHeight="false" outlineLevel="0" collapsed="false">
      <c r="A111" s="10"/>
      <c r="B111" s="11"/>
      <c r="C111" s="11"/>
      <c r="D111" s="11"/>
      <c r="E111" s="11"/>
      <c r="F111" s="12"/>
      <c r="G111" s="11"/>
      <c r="H111" s="11"/>
      <c r="I111" s="13" t="str">
        <f aca="false">IF(OR(B111="",COUNT(B97:B110)&lt;14),"",B111-AVERAGE(B97:B110))</f>
        <v/>
      </c>
      <c r="J111" s="14"/>
    </row>
    <row r="112" customFormat="false" ht="15" hidden="false" customHeight="false" outlineLevel="0" collapsed="false">
      <c r="A112" s="10"/>
      <c r="B112" s="11"/>
      <c r="C112" s="11"/>
      <c r="D112" s="11"/>
      <c r="E112" s="11"/>
      <c r="F112" s="12"/>
      <c r="G112" s="11"/>
      <c r="H112" s="11"/>
      <c r="I112" s="13" t="str">
        <f aca="false">IF(OR(B112="",COUNT(B98:B111)&lt;14),"",B112-AVERAGE(B98:B111))</f>
        <v/>
      </c>
      <c r="J112" s="14"/>
    </row>
    <row r="113" customFormat="false" ht="15" hidden="false" customHeight="false" outlineLevel="0" collapsed="false">
      <c r="A113" s="10"/>
      <c r="B113" s="11"/>
      <c r="C113" s="11"/>
      <c r="D113" s="11"/>
      <c r="E113" s="11"/>
      <c r="F113" s="12"/>
      <c r="G113" s="11"/>
      <c r="H113" s="11"/>
      <c r="I113" s="13" t="str">
        <f aca="false">IF(OR(B113="",COUNT(B99:B112)&lt;14),"",B113-AVERAGE(B99:B112))</f>
        <v/>
      </c>
      <c r="J113" s="14"/>
    </row>
    <row r="114" customFormat="false" ht="15" hidden="false" customHeight="false" outlineLevel="0" collapsed="false">
      <c r="A114" s="10"/>
      <c r="B114" s="11"/>
      <c r="C114" s="11"/>
      <c r="D114" s="11"/>
      <c r="E114" s="11"/>
      <c r="F114" s="12"/>
      <c r="G114" s="11"/>
      <c r="H114" s="11"/>
      <c r="I114" s="13" t="str">
        <f aca="false">IF(OR(B114="",COUNT(B100:B113)&lt;14),"",B114-AVERAGE(B100:B113))</f>
        <v/>
      </c>
      <c r="J114" s="14"/>
    </row>
    <row r="115" customFormat="false" ht="15" hidden="false" customHeight="false" outlineLevel="0" collapsed="false">
      <c r="A115" s="10"/>
      <c r="B115" s="11"/>
      <c r="C115" s="11"/>
      <c r="D115" s="11"/>
      <c r="E115" s="11"/>
      <c r="F115" s="12"/>
      <c r="G115" s="11"/>
      <c r="H115" s="11"/>
      <c r="I115" s="13" t="str">
        <f aca="false">IF(OR(B115="",COUNT(B101:B114)&lt;14),"",B115-AVERAGE(B101:B114))</f>
        <v/>
      </c>
      <c r="J115" s="14"/>
    </row>
    <row r="116" customFormat="false" ht="15" hidden="false" customHeight="false" outlineLevel="0" collapsed="false">
      <c r="A116" s="10"/>
      <c r="B116" s="11"/>
      <c r="C116" s="11"/>
      <c r="D116" s="11"/>
      <c r="E116" s="11"/>
      <c r="F116" s="12"/>
      <c r="G116" s="11"/>
      <c r="H116" s="11"/>
      <c r="I116" s="13" t="str">
        <f aca="false">IF(OR(B116="",COUNT(B102:B115)&lt;14),"",B116-AVERAGE(B102:B115))</f>
        <v/>
      </c>
      <c r="J116" s="14"/>
    </row>
    <row r="117" customFormat="false" ht="15" hidden="false" customHeight="false" outlineLevel="0" collapsed="false">
      <c r="A117" s="10"/>
      <c r="B117" s="11"/>
      <c r="C117" s="11"/>
      <c r="D117" s="11"/>
      <c r="E117" s="11"/>
      <c r="F117" s="12"/>
      <c r="G117" s="11"/>
      <c r="H117" s="11"/>
      <c r="I117" s="13" t="str">
        <f aca="false">IF(OR(B117="",COUNT(B103:B116)&lt;14),"",B117-AVERAGE(B103:B116))</f>
        <v/>
      </c>
      <c r="J117" s="14"/>
    </row>
    <row r="118" customFormat="false" ht="15" hidden="false" customHeight="false" outlineLevel="0" collapsed="false">
      <c r="A118" s="10"/>
      <c r="B118" s="11"/>
      <c r="C118" s="11"/>
      <c r="D118" s="11"/>
      <c r="E118" s="11"/>
      <c r="F118" s="12"/>
      <c r="G118" s="11"/>
      <c r="H118" s="11"/>
      <c r="I118" s="13" t="str">
        <f aca="false">IF(OR(B118="",COUNT(B104:B117)&lt;14),"",B118-AVERAGE(B104:B117))</f>
        <v/>
      </c>
      <c r="J118" s="14"/>
    </row>
    <row r="119" customFormat="false" ht="15" hidden="false" customHeight="false" outlineLevel="0" collapsed="false">
      <c r="A119" s="10"/>
      <c r="B119" s="11"/>
      <c r="C119" s="11"/>
      <c r="D119" s="11"/>
      <c r="E119" s="11"/>
      <c r="F119" s="12"/>
      <c r="G119" s="11"/>
      <c r="H119" s="11"/>
      <c r="I119" s="13" t="str">
        <f aca="false">IF(OR(B119="",COUNT(B105:B118)&lt;14),"",B119-AVERAGE(B105:B118))</f>
        <v/>
      </c>
      <c r="J119" s="14"/>
    </row>
    <row r="120" customFormat="false" ht="15" hidden="false" customHeight="false" outlineLevel="0" collapsed="false">
      <c r="A120" s="10"/>
      <c r="B120" s="11"/>
      <c r="C120" s="11"/>
      <c r="D120" s="11"/>
      <c r="E120" s="11"/>
      <c r="F120" s="12"/>
      <c r="G120" s="11"/>
      <c r="H120" s="11"/>
      <c r="I120" s="13" t="str">
        <f aca="false">IF(OR(B120="",COUNT(B106:B119)&lt;14),"",B120-AVERAGE(B106:B119))</f>
        <v/>
      </c>
      <c r="J120" s="14"/>
    </row>
    <row r="121" customFormat="false" ht="15" hidden="false" customHeight="false" outlineLevel="0" collapsed="false">
      <c r="A121" s="10"/>
      <c r="B121" s="11"/>
      <c r="C121" s="11"/>
      <c r="D121" s="11"/>
      <c r="E121" s="11"/>
      <c r="F121" s="12"/>
      <c r="G121" s="11"/>
      <c r="H121" s="11"/>
      <c r="I121" s="13" t="str">
        <f aca="false">IF(OR(B121="",COUNT(B107:B120)&lt;14),"",B121-AVERAGE(B107:B120))</f>
        <v/>
      </c>
      <c r="J121" s="14"/>
    </row>
    <row r="122" customFormat="false" ht="15" hidden="false" customHeight="false" outlineLevel="0" collapsed="false">
      <c r="A122" s="10"/>
      <c r="B122" s="11"/>
      <c r="C122" s="11"/>
      <c r="D122" s="11"/>
      <c r="E122" s="11"/>
      <c r="F122" s="12"/>
      <c r="G122" s="11"/>
      <c r="H122" s="11"/>
      <c r="I122" s="13" t="str">
        <f aca="false">IF(OR(B122="",COUNT(B108:B121)&lt;14),"",B122-AVERAGE(B108:B121))</f>
        <v/>
      </c>
      <c r="J122" s="14"/>
    </row>
    <row r="123" customFormat="false" ht="15" hidden="false" customHeight="false" outlineLevel="0" collapsed="false">
      <c r="A123" s="10"/>
      <c r="B123" s="11"/>
      <c r="C123" s="11"/>
      <c r="D123" s="11"/>
      <c r="E123" s="11"/>
      <c r="F123" s="12"/>
      <c r="G123" s="11"/>
      <c r="H123" s="11"/>
      <c r="I123" s="13" t="str">
        <f aca="false">IF(OR(B123="",COUNT(B109:B122)&lt;14),"",B123-AVERAGE(B109:B122))</f>
        <v/>
      </c>
      <c r="J123" s="14"/>
    </row>
    <row r="124" customFormat="false" ht="15" hidden="false" customHeight="false" outlineLevel="0" collapsed="false">
      <c r="A124" s="10"/>
      <c r="B124" s="11"/>
      <c r="C124" s="11"/>
      <c r="D124" s="11"/>
      <c r="E124" s="11"/>
      <c r="F124" s="12"/>
      <c r="G124" s="11"/>
      <c r="H124" s="11"/>
      <c r="I124" s="13" t="str">
        <f aca="false">IF(OR(B124="",COUNT(B110:B123)&lt;14),"",B124-AVERAGE(B110:B123))</f>
        <v/>
      </c>
      <c r="J124" s="14"/>
    </row>
    <row r="125" customFormat="false" ht="15" hidden="false" customHeight="false" outlineLevel="0" collapsed="false">
      <c r="A125" s="10"/>
      <c r="B125" s="11"/>
      <c r="C125" s="11"/>
      <c r="D125" s="11"/>
      <c r="E125" s="11"/>
      <c r="F125" s="12"/>
      <c r="G125" s="11"/>
      <c r="H125" s="11"/>
      <c r="I125" s="13" t="str">
        <f aca="false">IF(OR(B125="",COUNT(B111:B124)&lt;14),"",B125-AVERAGE(B111:B124))</f>
        <v/>
      </c>
      <c r="J125" s="14"/>
    </row>
    <row r="126" customFormat="false" ht="15" hidden="false" customHeight="false" outlineLevel="0" collapsed="false">
      <c r="A126" s="10"/>
      <c r="B126" s="11"/>
      <c r="C126" s="11"/>
      <c r="D126" s="11"/>
      <c r="E126" s="11"/>
      <c r="F126" s="12"/>
      <c r="G126" s="11"/>
      <c r="H126" s="11"/>
      <c r="I126" s="13" t="str">
        <f aca="false">IF(OR(B126="",COUNT(B112:B125)&lt;14),"",B126-AVERAGE(B112:B125))</f>
        <v/>
      </c>
      <c r="J126" s="14"/>
    </row>
    <row r="127" customFormat="false" ht="15" hidden="false" customHeight="false" outlineLevel="0" collapsed="false">
      <c r="A127" s="10"/>
      <c r="B127" s="11"/>
      <c r="C127" s="11"/>
      <c r="D127" s="11"/>
      <c r="E127" s="11"/>
      <c r="F127" s="12"/>
      <c r="G127" s="11"/>
      <c r="H127" s="11"/>
      <c r="I127" s="13" t="str">
        <f aca="false">IF(OR(B127="",COUNT(B113:B126)&lt;14),"",B127-AVERAGE(B113:B126))</f>
        <v/>
      </c>
      <c r="J127" s="14"/>
    </row>
    <row r="128" customFormat="false" ht="15" hidden="false" customHeight="false" outlineLevel="0" collapsed="false">
      <c r="A128" s="10"/>
      <c r="B128" s="11"/>
      <c r="C128" s="11"/>
      <c r="D128" s="11"/>
      <c r="E128" s="11"/>
      <c r="F128" s="12"/>
      <c r="G128" s="11"/>
      <c r="H128" s="11"/>
      <c r="I128" s="13" t="str">
        <f aca="false">IF(OR(B128="",COUNT(B114:B127)&lt;14),"",B128-AVERAGE(B114:B127))</f>
        <v/>
      </c>
      <c r="J128" s="14"/>
    </row>
    <row r="129" customFormat="false" ht="15" hidden="false" customHeight="false" outlineLevel="0" collapsed="false">
      <c r="A129" s="10"/>
      <c r="B129" s="11"/>
      <c r="C129" s="11"/>
      <c r="D129" s="11"/>
      <c r="E129" s="11"/>
      <c r="F129" s="12"/>
      <c r="G129" s="11"/>
      <c r="H129" s="11"/>
      <c r="I129" s="13" t="str">
        <f aca="false">IF(OR(B129="",COUNT(B115:B128)&lt;14),"",B129-AVERAGE(B115:B128))</f>
        <v/>
      </c>
      <c r="J129" s="14"/>
    </row>
    <row r="130" customFormat="false" ht="15" hidden="false" customHeight="false" outlineLevel="0" collapsed="false">
      <c r="A130" s="10"/>
      <c r="B130" s="11"/>
      <c r="C130" s="11"/>
      <c r="D130" s="11"/>
      <c r="E130" s="11"/>
      <c r="F130" s="12"/>
      <c r="G130" s="11"/>
      <c r="H130" s="11"/>
      <c r="I130" s="13" t="str">
        <f aca="false">IF(OR(B130="",COUNT(B116:B129)&lt;14),"",B130-AVERAGE(B116:B129))</f>
        <v/>
      </c>
      <c r="J130" s="14"/>
    </row>
    <row r="131" customFormat="false" ht="15" hidden="false" customHeight="false" outlineLevel="0" collapsed="false">
      <c r="A131" s="10"/>
      <c r="B131" s="11"/>
      <c r="C131" s="11"/>
      <c r="D131" s="11"/>
      <c r="E131" s="11"/>
      <c r="F131" s="12"/>
      <c r="G131" s="11"/>
      <c r="H131" s="11"/>
      <c r="I131" s="13" t="str">
        <f aca="false">IF(OR(B131="",COUNT(B117:B130)&lt;14),"",B131-AVERAGE(B117:B130))</f>
        <v/>
      </c>
      <c r="J131" s="14"/>
    </row>
    <row r="132" customFormat="false" ht="15" hidden="false" customHeight="false" outlineLevel="0" collapsed="false">
      <c r="A132" s="10"/>
      <c r="B132" s="11"/>
      <c r="C132" s="11"/>
      <c r="D132" s="11"/>
      <c r="E132" s="11"/>
      <c r="F132" s="12"/>
      <c r="G132" s="11"/>
      <c r="H132" s="11"/>
      <c r="I132" s="13" t="str">
        <f aca="false">IF(OR(B132="",COUNT(B118:B131)&lt;14),"",B132-AVERAGE(B118:B131))</f>
        <v/>
      </c>
      <c r="J132" s="14"/>
    </row>
    <row r="133" customFormat="false" ht="15" hidden="false" customHeight="false" outlineLevel="0" collapsed="false">
      <c r="A133" s="10"/>
      <c r="B133" s="11"/>
      <c r="C133" s="11"/>
      <c r="D133" s="11"/>
      <c r="E133" s="11"/>
      <c r="F133" s="12"/>
      <c r="G133" s="11"/>
      <c r="H133" s="11"/>
      <c r="I133" s="13" t="str">
        <f aca="false">IF(OR(B133="",COUNT(B119:B132)&lt;14),"",B133-AVERAGE(B119:B132))</f>
        <v/>
      </c>
      <c r="J133" s="14"/>
    </row>
    <row r="134" customFormat="false" ht="15" hidden="false" customHeight="false" outlineLevel="0" collapsed="false">
      <c r="A134" s="10"/>
      <c r="B134" s="11"/>
      <c r="C134" s="11"/>
      <c r="D134" s="11"/>
      <c r="E134" s="11"/>
      <c r="F134" s="12"/>
      <c r="G134" s="11"/>
      <c r="H134" s="11"/>
      <c r="I134" s="13" t="str">
        <f aca="false">IF(OR(B134="",COUNT(B120:B133)&lt;14),"",B134-AVERAGE(B120:B133))</f>
        <v/>
      </c>
      <c r="J134" s="14"/>
    </row>
    <row r="135" customFormat="false" ht="15" hidden="false" customHeight="false" outlineLevel="0" collapsed="false">
      <c r="A135" s="10"/>
      <c r="B135" s="11"/>
      <c r="C135" s="11"/>
      <c r="D135" s="11"/>
      <c r="E135" s="11"/>
      <c r="F135" s="12"/>
      <c r="G135" s="11"/>
      <c r="H135" s="11"/>
      <c r="I135" s="13" t="str">
        <f aca="false">IF(OR(B135="",COUNT(B121:B134)&lt;14),"",B135-AVERAGE(B121:B134))</f>
        <v/>
      </c>
      <c r="J135" s="14"/>
    </row>
    <row r="136" customFormat="false" ht="15" hidden="false" customHeight="false" outlineLevel="0" collapsed="false">
      <c r="A136" s="10"/>
      <c r="B136" s="11"/>
      <c r="C136" s="11"/>
      <c r="D136" s="11"/>
      <c r="E136" s="11"/>
      <c r="F136" s="12"/>
      <c r="G136" s="11"/>
      <c r="H136" s="11"/>
      <c r="I136" s="13" t="str">
        <f aca="false">IF(OR(B136="",COUNT(B122:B135)&lt;14),"",B136-AVERAGE(B122:B135))</f>
        <v/>
      </c>
      <c r="J136" s="14"/>
    </row>
    <row r="137" customFormat="false" ht="15" hidden="false" customHeight="false" outlineLevel="0" collapsed="false">
      <c r="A137" s="10"/>
      <c r="B137" s="11"/>
      <c r="C137" s="11"/>
      <c r="D137" s="11"/>
      <c r="E137" s="11"/>
      <c r="F137" s="12"/>
      <c r="G137" s="11"/>
      <c r="H137" s="11"/>
      <c r="I137" s="13" t="str">
        <f aca="false">IF(OR(B137="",COUNT(B123:B136)&lt;14),"",B137-AVERAGE(B123:B136))</f>
        <v/>
      </c>
      <c r="J137" s="14"/>
    </row>
    <row r="138" customFormat="false" ht="15" hidden="false" customHeight="false" outlineLevel="0" collapsed="false">
      <c r="A138" s="10"/>
      <c r="B138" s="11"/>
      <c r="C138" s="11"/>
      <c r="D138" s="11"/>
      <c r="E138" s="11"/>
      <c r="F138" s="12"/>
      <c r="G138" s="11"/>
      <c r="H138" s="11"/>
      <c r="I138" s="13" t="str">
        <f aca="false">IF(OR(B138="",COUNT(B124:B137)&lt;14),"",B138-AVERAGE(B124:B137))</f>
        <v/>
      </c>
      <c r="J138" s="14"/>
    </row>
    <row r="139" customFormat="false" ht="15" hidden="false" customHeight="false" outlineLevel="0" collapsed="false">
      <c r="A139" s="10"/>
      <c r="B139" s="11"/>
      <c r="C139" s="11"/>
      <c r="D139" s="11"/>
      <c r="E139" s="11"/>
      <c r="F139" s="12"/>
      <c r="G139" s="11"/>
      <c r="H139" s="11"/>
      <c r="I139" s="13" t="str">
        <f aca="false">IF(OR(B139="",COUNT(B125:B138)&lt;14),"",B139-AVERAGE(B125:B138))</f>
        <v/>
      </c>
      <c r="J139" s="14"/>
    </row>
    <row r="140" customFormat="false" ht="15" hidden="false" customHeight="false" outlineLevel="0" collapsed="false">
      <c r="A140" s="10"/>
      <c r="B140" s="11"/>
      <c r="C140" s="11"/>
      <c r="D140" s="11"/>
      <c r="E140" s="11"/>
      <c r="F140" s="12"/>
      <c r="G140" s="11"/>
      <c r="H140" s="11"/>
      <c r="I140" s="13" t="str">
        <f aca="false">IF(OR(B140="",COUNT(B126:B139)&lt;14),"",B140-AVERAGE(B126:B139))</f>
        <v/>
      </c>
      <c r="J140" s="14"/>
    </row>
    <row r="141" customFormat="false" ht="15" hidden="false" customHeight="false" outlineLevel="0" collapsed="false">
      <c r="A141" s="10"/>
      <c r="B141" s="11"/>
      <c r="C141" s="11"/>
      <c r="D141" s="11"/>
      <c r="E141" s="11"/>
      <c r="F141" s="12"/>
      <c r="G141" s="11"/>
      <c r="H141" s="11"/>
      <c r="I141" s="13" t="str">
        <f aca="false">IF(OR(B141="",COUNT(B127:B140)&lt;14),"",B141-AVERAGE(B127:B140))</f>
        <v/>
      </c>
      <c r="J141" s="14"/>
    </row>
    <row r="142" customFormat="false" ht="15" hidden="false" customHeight="false" outlineLevel="0" collapsed="false">
      <c r="A142" s="10"/>
      <c r="B142" s="11"/>
      <c r="C142" s="11"/>
      <c r="D142" s="11"/>
      <c r="E142" s="11"/>
      <c r="F142" s="12"/>
      <c r="G142" s="11"/>
      <c r="H142" s="11"/>
      <c r="I142" s="13" t="str">
        <f aca="false">IF(OR(B142="",COUNT(B128:B141)&lt;14),"",B142-AVERAGE(B128:B141))</f>
        <v/>
      </c>
      <c r="J142" s="14"/>
    </row>
    <row r="143" customFormat="false" ht="15" hidden="false" customHeight="false" outlineLevel="0" collapsed="false">
      <c r="A143" s="10"/>
      <c r="B143" s="11"/>
      <c r="C143" s="11"/>
      <c r="D143" s="11"/>
      <c r="E143" s="11"/>
      <c r="F143" s="12"/>
      <c r="G143" s="11"/>
      <c r="H143" s="11"/>
      <c r="I143" s="13" t="str">
        <f aca="false">IF(OR(B143="",COUNT(B129:B142)&lt;14),"",B143-AVERAGE(B129:B142))</f>
        <v/>
      </c>
      <c r="J143" s="14"/>
    </row>
    <row r="144" customFormat="false" ht="15" hidden="false" customHeight="false" outlineLevel="0" collapsed="false">
      <c r="A144" s="10"/>
      <c r="B144" s="11"/>
      <c r="C144" s="11"/>
      <c r="D144" s="11"/>
      <c r="E144" s="11"/>
      <c r="F144" s="12"/>
      <c r="G144" s="11"/>
      <c r="H144" s="11"/>
      <c r="I144" s="13" t="str">
        <f aca="false">IF(OR(B144="",COUNT(B130:B143)&lt;14),"",B144-AVERAGE(B130:B143))</f>
        <v/>
      </c>
      <c r="J144" s="14"/>
    </row>
    <row r="145" customFormat="false" ht="15" hidden="false" customHeight="false" outlineLevel="0" collapsed="false">
      <c r="A145" s="10"/>
      <c r="B145" s="11"/>
      <c r="C145" s="11"/>
      <c r="D145" s="11"/>
      <c r="E145" s="11"/>
      <c r="F145" s="12"/>
      <c r="G145" s="11"/>
      <c r="H145" s="11"/>
      <c r="I145" s="13" t="str">
        <f aca="false">IF(OR(B145="",COUNT(B131:B144)&lt;14),"",B145-AVERAGE(B131:B144))</f>
        <v/>
      </c>
      <c r="J145" s="14"/>
    </row>
    <row r="146" customFormat="false" ht="15" hidden="false" customHeight="false" outlineLevel="0" collapsed="false">
      <c r="A146" s="10"/>
      <c r="B146" s="11"/>
      <c r="C146" s="11"/>
      <c r="D146" s="11"/>
      <c r="E146" s="11"/>
      <c r="F146" s="12"/>
      <c r="G146" s="11"/>
      <c r="H146" s="11"/>
      <c r="I146" s="13" t="str">
        <f aca="false">IF(OR(B146="",COUNT(B132:B145)&lt;14),"",B146-AVERAGE(B132:B145))</f>
        <v/>
      </c>
      <c r="J146" s="14"/>
    </row>
    <row r="147" customFormat="false" ht="15" hidden="false" customHeight="false" outlineLevel="0" collapsed="false">
      <c r="A147" s="10"/>
      <c r="B147" s="11"/>
      <c r="C147" s="11"/>
      <c r="D147" s="11"/>
      <c r="E147" s="11"/>
      <c r="F147" s="12"/>
      <c r="G147" s="11"/>
      <c r="H147" s="11"/>
      <c r="I147" s="13" t="str">
        <f aca="false">IF(OR(B147="",COUNT(B133:B146)&lt;14),"",B147-AVERAGE(B133:B146))</f>
        <v/>
      </c>
      <c r="J147" s="14"/>
    </row>
    <row r="148" customFormat="false" ht="15" hidden="false" customHeight="false" outlineLevel="0" collapsed="false">
      <c r="A148" s="10"/>
      <c r="B148" s="11"/>
      <c r="C148" s="11"/>
      <c r="D148" s="11"/>
      <c r="E148" s="11"/>
      <c r="F148" s="12"/>
      <c r="G148" s="11"/>
      <c r="H148" s="11"/>
      <c r="I148" s="13" t="str">
        <f aca="false">IF(OR(B148="",COUNT(B134:B147)&lt;14),"",B148-AVERAGE(B134:B147))</f>
        <v/>
      </c>
      <c r="J148" s="14"/>
    </row>
    <row r="149" customFormat="false" ht="15" hidden="false" customHeight="false" outlineLevel="0" collapsed="false">
      <c r="A149" s="10"/>
      <c r="B149" s="11"/>
      <c r="C149" s="11"/>
      <c r="D149" s="11"/>
      <c r="E149" s="11"/>
      <c r="F149" s="12"/>
      <c r="G149" s="11"/>
      <c r="H149" s="11"/>
      <c r="I149" s="13" t="str">
        <f aca="false">IF(OR(B149="",COUNT(B135:B148)&lt;14),"",B149-AVERAGE(B135:B148))</f>
        <v/>
      </c>
      <c r="J149" s="14"/>
    </row>
    <row r="150" customFormat="false" ht="15" hidden="false" customHeight="false" outlineLevel="0" collapsed="false">
      <c r="A150" s="10"/>
      <c r="B150" s="11"/>
      <c r="C150" s="11"/>
      <c r="D150" s="11"/>
      <c r="E150" s="11"/>
      <c r="F150" s="12"/>
      <c r="G150" s="11"/>
      <c r="H150" s="11"/>
      <c r="I150" s="13" t="str">
        <f aca="false">IF(OR(B150="",COUNT(B136:B149)&lt;14),"",B150-AVERAGE(B136:B149))</f>
        <v/>
      </c>
      <c r="J150" s="14"/>
    </row>
    <row r="151" customFormat="false" ht="15" hidden="false" customHeight="false" outlineLevel="0" collapsed="false">
      <c r="A151" s="10"/>
      <c r="B151" s="11"/>
      <c r="C151" s="11"/>
      <c r="D151" s="11"/>
      <c r="E151" s="11"/>
      <c r="F151" s="12"/>
      <c r="G151" s="11"/>
      <c r="H151" s="11"/>
      <c r="I151" s="13" t="str">
        <f aca="false">IF(OR(B151="",COUNT(B137:B150)&lt;14),"",B151-AVERAGE(B137:B150))</f>
        <v/>
      </c>
      <c r="J151" s="14"/>
    </row>
    <row r="152" customFormat="false" ht="15" hidden="false" customHeight="false" outlineLevel="0" collapsed="false">
      <c r="A152" s="10"/>
      <c r="B152" s="11"/>
      <c r="C152" s="11"/>
      <c r="D152" s="11"/>
      <c r="E152" s="11"/>
      <c r="F152" s="12"/>
      <c r="G152" s="11"/>
      <c r="H152" s="11"/>
      <c r="I152" s="13" t="str">
        <f aca="false">IF(OR(B152="",COUNT(B138:B151)&lt;14),"",B152-AVERAGE(B138:B151))</f>
        <v/>
      </c>
      <c r="J152" s="14"/>
    </row>
    <row r="153" customFormat="false" ht="15" hidden="false" customHeight="false" outlineLevel="0" collapsed="false">
      <c r="A153" s="10"/>
      <c r="B153" s="11"/>
      <c r="C153" s="11"/>
      <c r="D153" s="11"/>
      <c r="E153" s="11"/>
      <c r="F153" s="12"/>
      <c r="G153" s="11"/>
      <c r="H153" s="11"/>
      <c r="I153" s="13" t="str">
        <f aca="false">IF(OR(B153="",COUNT(B139:B152)&lt;14),"",B153-AVERAGE(B139:B152))</f>
        <v/>
      </c>
      <c r="J153" s="14"/>
    </row>
    <row r="154" customFormat="false" ht="15" hidden="false" customHeight="false" outlineLevel="0" collapsed="false">
      <c r="A154" s="10"/>
      <c r="B154" s="11"/>
      <c r="C154" s="11"/>
      <c r="D154" s="11"/>
      <c r="E154" s="11"/>
      <c r="F154" s="12"/>
      <c r="G154" s="11"/>
      <c r="H154" s="11"/>
      <c r="I154" s="13" t="str">
        <f aca="false">IF(OR(B154="",COUNT(B140:B153)&lt;14),"",B154-AVERAGE(B140:B153))</f>
        <v/>
      </c>
      <c r="J154" s="14"/>
    </row>
    <row r="155" customFormat="false" ht="15" hidden="false" customHeight="false" outlineLevel="0" collapsed="false">
      <c r="A155" s="10"/>
      <c r="B155" s="11"/>
      <c r="C155" s="11"/>
      <c r="D155" s="11"/>
      <c r="E155" s="11"/>
      <c r="F155" s="12"/>
      <c r="G155" s="11"/>
      <c r="H155" s="11"/>
      <c r="I155" s="13" t="str">
        <f aca="false">IF(OR(B155="",COUNT(B141:B154)&lt;14),"",B155-AVERAGE(B141:B154))</f>
        <v/>
      </c>
      <c r="J155" s="14"/>
    </row>
    <row r="156" customFormat="false" ht="15" hidden="false" customHeight="false" outlineLevel="0" collapsed="false">
      <c r="A156" s="10"/>
      <c r="B156" s="11"/>
      <c r="C156" s="11"/>
      <c r="D156" s="11"/>
      <c r="E156" s="11"/>
      <c r="F156" s="12"/>
      <c r="G156" s="11"/>
      <c r="H156" s="11"/>
      <c r="I156" s="13" t="str">
        <f aca="false">IF(OR(B156="",COUNT(B142:B155)&lt;14),"",B156-AVERAGE(B142:B155))</f>
        <v/>
      </c>
      <c r="J156" s="14"/>
    </row>
    <row r="157" customFormat="false" ht="15" hidden="false" customHeight="false" outlineLevel="0" collapsed="false">
      <c r="A157" s="10"/>
      <c r="B157" s="11"/>
      <c r="C157" s="11"/>
      <c r="D157" s="11"/>
      <c r="E157" s="11"/>
      <c r="F157" s="12"/>
      <c r="G157" s="11"/>
      <c r="H157" s="11"/>
      <c r="I157" s="13" t="str">
        <f aca="false">IF(OR(B157="",COUNT(B143:B156)&lt;14),"",B157-AVERAGE(B143:B156))</f>
        <v/>
      </c>
      <c r="J157" s="14"/>
    </row>
    <row r="158" customFormat="false" ht="15" hidden="false" customHeight="false" outlineLevel="0" collapsed="false">
      <c r="A158" s="10"/>
      <c r="B158" s="11"/>
      <c r="C158" s="11"/>
      <c r="D158" s="11"/>
      <c r="E158" s="11"/>
      <c r="F158" s="12"/>
      <c r="G158" s="11"/>
      <c r="H158" s="11"/>
      <c r="I158" s="13" t="str">
        <f aca="false">IF(OR(B158="",COUNT(B144:B157)&lt;14),"",B158-AVERAGE(B144:B157))</f>
        <v/>
      </c>
      <c r="J158" s="14"/>
    </row>
    <row r="159" customFormat="false" ht="15" hidden="false" customHeight="false" outlineLevel="0" collapsed="false">
      <c r="A159" s="10"/>
      <c r="B159" s="11"/>
      <c r="C159" s="11"/>
      <c r="D159" s="11"/>
      <c r="E159" s="11"/>
      <c r="F159" s="12"/>
      <c r="G159" s="11"/>
      <c r="H159" s="11"/>
      <c r="I159" s="13" t="str">
        <f aca="false">IF(OR(B159="",COUNT(B145:B158)&lt;14),"",B159-AVERAGE(B145:B158))</f>
        <v/>
      </c>
      <c r="J159" s="14"/>
    </row>
    <row r="160" customFormat="false" ht="15" hidden="false" customHeight="false" outlineLevel="0" collapsed="false">
      <c r="A160" s="10"/>
      <c r="B160" s="11"/>
      <c r="C160" s="11"/>
      <c r="D160" s="11"/>
      <c r="E160" s="11"/>
      <c r="F160" s="12"/>
      <c r="G160" s="11"/>
      <c r="H160" s="11"/>
      <c r="I160" s="13" t="str">
        <f aca="false">IF(OR(B160="",COUNT(B146:B159)&lt;14),"",B160-AVERAGE(B146:B159))</f>
        <v/>
      </c>
      <c r="J160" s="14"/>
    </row>
    <row r="161" customFormat="false" ht="15" hidden="false" customHeight="false" outlineLevel="0" collapsed="false">
      <c r="A161" s="10"/>
      <c r="B161" s="11"/>
      <c r="C161" s="11"/>
      <c r="D161" s="11"/>
      <c r="E161" s="11"/>
      <c r="F161" s="12"/>
      <c r="G161" s="11"/>
      <c r="H161" s="11"/>
      <c r="I161" s="13" t="str">
        <f aca="false">IF(OR(B161="",COUNT(B147:B160)&lt;14),"",B161-AVERAGE(B147:B160))</f>
        <v/>
      </c>
      <c r="J161" s="14"/>
    </row>
    <row r="162" customFormat="false" ht="15" hidden="false" customHeight="false" outlineLevel="0" collapsed="false">
      <c r="A162" s="10"/>
      <c r="B162" s="11"/>
      <c r="C162" s="11"/>
      <c r="D162" s="11"/>
      <c r="E162" s="11"/>
      <c r="F162" s="12"/>
      <c r="G162" s="11"/>
      <c r="H162" s="11"/>
      <c r="I162" s="13" t="str">
        <f aca="false">IF(OR(B162="",COUNT(B148:B161)&lt;14),"",B162-AVERAGE(B148:B161))</f>
        <v/>
      </c>
      <c r="J162" s="14"/>
    </row>
    <row r="163" customFormat="false" ht="15" hidden="false" customHeight="false" outlineLevel="0" collapsed="false">
      <c r="A163" s="10"/>
      <c r="B163" s="11"/>
      <c r="C163" s="11"/>
      <c r="D163" s="11"/>
      <c r="E163" s="11"/>
      <c r="F163" s="12"/>
      <c r="G163" s="11"/>
      <c r="H163" s="11"/>
      <c r="I163" s="13" t="str">
        <f aca="false">IF(OR(B163="",COUNT(B149:B162)&lt;14),"",B163-AVERAGE(B149:B162))</f>
        <v/>
      </c>
      <c r="J163" s="14"/>
    </row>
    <row r="164" customFormat="false" ht="15" hidden="false" customHeight="false" outlineLevel="0" collapsed="false">
      <c r="A164" s="10"/>
      <c r="B164" s="11"/>
      <c r="C164" s="11"/>
      <c r="D164" s="11"/>
      <c r="E164" s="11"/>
      <c r="F164" s="12"/>
      <c r="G164" s="11"/>
      <c r="H164" s="11"/>
      <c r="I164" s="13" t="str">
        <f aca="false">IF(OR(B164="",COUNT(B150:B163)&lt;14),"",B164-AVERAGE(B150:B163))</f>
        <v/>
      </c>
      <c r="J164" s="14"/>
    </row>
    <row r="165" customFormat="false" ht="15" hidden="false" customHeight="false" outlineLevel="0" collapsed="false">
      <c r="A165" s="10"/>
      <c r="B165" s="11"/>
      <c r="C165" s="11"/>
      <c r="D165" s="11"/>
      <c r="E165" s="11"/>
      <c r="F165" s="12"/>
      <c r="G165" s="11"/>
      <c r="H165" s="11"/>
      <c r="I165" s="13" t="str">
        <f aca="false">IF(OR(B165="",COUNT(B151:B164)&lt;14),"",B165-AVERAGE(B151:B164))</f>
        <v/>
      </c>
      <c r="J165" s="14"/>
    </row>
    <row r="166" customFormat="false" ht="15" hidden="false" customHeight="false" outlineLevel="0" collapsed="false">
      <c r="A166" s="10"/>
      <c r="B166" s="11"/>
      <c r="C166" s="11"/>
      <c r="D166" s="11"/>
      <c r="E166" s="11"/>
      <c r="F166" s="12"/>
      <c r="G166" s="11"/>
      <c r="H166" s="11"/>
      <c r="I166" s="13" t="str">
        <f aca="false">IF(OR(B166="",COUNT(B152:B165)&lt;14),"",B166-AVERAGE(B152:B165))</f>
        <v/>
      </c>
      <c r="J166" s="14"/>
    </row>
    <row r="167" customFormat="false" ht="15" hidden="false" customHeight="false" outlineLevel="0" collapsed="false">
      <c r="A167" s="10"/>
      <c r="B167" s="11"/>
      <c r="C167" s="11"/>
      <c r="D167" s="11"/>
      <c r="E167" s="11"/>
      <c r="F167" s="12"/>
      <c r="G167" s="11"/>
      <c r="H167" s="11"/>
      <c r="I167" s="13" t="str">
        <f aca="false">IF(OR(B167="",COUNT(B153:B166)&lt;14),"",B167-AVERAGE(B153:B166))</f>
        <v/>
      </c>
      <c r="J167" s="14"/>
    </row>
    <row r="168" customFormat="false" ht="15" hidden="false" customHeight="false" outlineLevel="0" collapsed="false">
      <c r="A168" s="10"/>
      <c r="B168" s="11"/>
      <c r="C168" s="11"/>
      <c r="D168" s="11"/>
      <c r="E168" s="11"/>
      <c r="F168" s="12"/>
      <c r="G168" s="11"/>
      <c r="H168" s="11"/>
      <c r="I168" s="13" t="str">
        <f aca="false">IF(OR(B168="",COUNT(B154:B167)&lt;14),"",B168-AVERAGE(B154:B167))</f>
        <v/>
      </c>
      <c r="J168" s="14"/>
    </row>
    <row r="169" customFormat="false" ht="15" hidden="false" customHeight="false" outlineLevel="0" collapsed="false">
      <c r="A169" s="10"/>
      <c r="B169" s="11"/>
      <c r="C169" s="11"/>
      <c r="D169" s="11"/>
      <c r="E169" s="11"/>
      <c r="F169" s="12"/>
      <c r="G169" s="11"/>
      <c r="H169" s="11"/>
      <c r="I169" s="13" t="str">
        <f aca="false">IF(OR(B169="",COUNT(B155:B168)&lt;14),"",B169-AVERAGE(B155:B168))</f>
        <v/>
      </c>
      <c r="J169" s="14"/>
    </row>
    <row r="170" customFormat="false" ht="15" hidden="false" customHeight="false" outlineLevel="0" collapsed="false">
      <c r="A170" s="10"/>
      <c r="B170" s="11"/>
      <c r="C170" s="11"/>
      <c r="D170" s="11"/>
      <c r="E170" s="11"/>
      <c r="F170" s="12"/>
      <c r="G170" s="11"/>
      <c r="H170" s="11"/>
      <c r="I170" s="13" t="str">
        <f aca="false">IF(OR(B170="",COUNT(B156:B169)&lt;14),"",B170-AVERAGE(B156:B169))</f>
        <v/>
      </c>
      <c r="J170" s="14"/>
    </row>
    <row r="171" customFormat="false" ht="15" hidden="false" customHeight="false" outlineLevel="0" collapsed="false">
      <c r="A171" s="10"/>
      <c r="B171" s="11"/>
      <c r="C171" s="11"/>
      <c r="D171" s="11"/>
      <c r="E171" s="11"/>
      <c r="F171" s="12"/>
      <c r="G171" s="11"/>
      <c r="H171" s="11"/>
      <c r="I171" s="13" t="str">
        <f aca="false">IF(OR(B171="",COUNT(B157:B170)&lt;14),"",B171-AVERAGE(B157:B170))</f>
        <v/>
      </c>
      <c r="J171" s="14"/>
    </row>
    <row r="172" customFormat="false" ht="15" hidden="false" customHeight="false" outlineLevel="0" collapsed="false">
      <c r="A172" s="10"/>
      <c r="B172" s="11"/>
      <c r="C172" s="11"/>
      <c r="D172" s="11"/>
      <c r="E172" s="11"/>
      <c r="F172" s="12"/>
      <c r="G172" s="11"/>
      <c r="H172" s="11"/>
      <c r="I172" s="13" t="str">
        <f aca="false">IF(OR(B172="",COUNT(B158:B171)&lt;14),"",B172-AVERAGE(B158:B171))</f>
        <v/>
      </c>
      <c r="J172" s="14"/>
    </row>
    <row r="173" customFormat="false" ht="15" hidden="false" customHeight="false" outlineLevel="0" collapsed="false">
      <c r="A173" s="10"/>
      <c r="B173" s="11"/>
      <c r="C173" s="11"/>
      <c r="D173" s="11"/>
      <c r="E173" s="11"/>
      <c r="F173" s="12"/>
      <c r="G173" s="11"/>
      <c r="H173" s="11"/>
      <c r="I173" s="13" t="str">
        <f aca="false">IF(OR(B173="",COUNT(B159:B172)&lt;14),"",B173-AVERAGE(B159:B172))</f>
        <v/>
      </c>
      <c r="J173" s="14"/>
    </row>
    <row r="174" customFormat="false" ht="15" hidden="false" customHeight="false" outlineLevel="0" collapsed="false">
      <c r="A174" s="10"/>
      <c r="B174" s="11"/>
      <c r="C174" s="11"/>
      <c r="D174" s="11"/>
      <c r="E174" s="11"/>
      <c r="F174" s="12"/>
      <c r="G174" s="11"/>
      <c r="H174" s="11"/>
      <c r="I174" s="13" t="str">
        <f aca="false">IF(OR(B174="",COUNT(B160:B173)&lt;14),"",B174-AVERAGE(B160:B173))</f>
        <v/>
      </c>
      <c r="J174" s="14"/>
    </row>
    <row r="175" customFormat="false" ht="15" hidden="false" customHeight="false" outlineLevel="0" collapsed="false">
      <c r="A175" s="10"/>
      <c r="B175" s="11"/>
      <c r="C175" s="11"/>
      <c r="D175" s="11"/>
      <c r="E175" s="11"/>
      <c r="F175" s="12"/>
      <c r="G175" s="11"/>
      <c r="H175" s="11"/>
      <c r="I175" s="13" t="str">
        <f aca="false">IF(OR(B175="",COUNT(B161:B174)&lt;14),"",B175-AVERAGE(B161:B174))</f>
        <v/>
      </c>
      <c r="J175" s="14"/>
    </row>
    <row r="176" customFormat="false" ht="15" hidden="false" customHeight="false" outlineLevel="0" collapsed="false">
      <c r="A176" s="10"/>
      <c r="B176" s="11"/>
      <c r="C176" s="11"/>
      <c r="D176" s="11"/>
      <c r="E176" s="11"/>
      <c r="F176" s="12"/>
      <c r="G176" s="11"/>
      <c r="H176" s="11"/>
      <c r="I176" s="13" t="str">
        <f aca="false">IF(OR(B176="",COUNT(B162:B175)&lt;14),"",B176-AVERAGE(B162:B175))</f>
        <v/>
      </c>
      <c r="J176" s="14"/>
    </row>
    <row r="177" customFormat="false" ht="15" hidden="false" customHeight="false" outlineLevel="0" collapsed="false">
      <c r="A177" s="10"/>
      <c r="B177" s="11"/>
      <c r="C177" s="11"/>
      <c r="D177" s="11"/>
      <c r="E177" s="11"/>
      <c r="F177" s="12"/>
      <c r="G177" s="11"/>
      <c r="H177" s="11"/>
      <c r="I177" s="13" t="str">
        <f aca="false">IF(OR(B177="",COUNT(B163:B176)&lt;14),"",B177-AVERAGE(B163:B176))</f>
        <v/>
      </c>
      <c r="J177" s="14"/>
    </row>
    <row r="178" customFormat="false" ht="15" hidden="false" customHeight="false" outlineLevel="0" collapsed="false">
      <c r="A178" s="10"/>
      <c r="B178" s="11"/>
      <c r="C178" s="11"/>
      <c r="D178" s="11"/>
      <c r="E178" s="11"/>
      <c r="F178" s="12"/>
      <c r="G178" s="11"/>
      <c r="H178" s="11"/>
      <c r="I178" s="13" t="str">
        <f aca="false">IF(OR(B178="",COUNT(B164:B177)&lt;14),"",B178-AVERAGE(B164:B177))</f>
        <v/>
      </c>
      <c r="J178" s="14"/>
    </row>
    <row r="179" customFormat="false" ht="15" hidden="false" customHeight="false" outlineLevel="0" collapsed="false">
      <c r="A179" s="10"/>
      <c r="B179" s="11"/>
      <c r="C179" s="11"/>
      <c r="D179" s="11"/>
      <c r="E179" s="11"/>
      <c r="F179" s="12"/>
      <c r="G179" s="11"/>
      <c r="H179" s="11"/>
      <c r="I179" s="13" t="str">
        <f aca="false">IF(OR(B179="",COUNT(B165:B178)&lt;14),"",B179-AVERAGE(B165:B178))</f>
        <v/>
      </c>
      <c r="J179" s="14"/>
    </row>
    <row r="180" customFormat="false" ht="15" hidden="false" customHeight="false" outlineLevel="0" collapsed="false">
      <c r="A180" s="10"/>
      <c r="B180" s="11"/>
      <c r="C180" s="11"/>
      <c r="D180" s="11"/>
      <c r="E180" s="11"/>
      <c r="F180" s="12"/>
      <c r="G180" s="11"/>
      <c r="H180" s="11"/>
      <c r="I180" s="13" t="str">
        <f aca="false">IF(OR(B180="",COUNT(B166:B179)&lt;14),"",B180-AVERAGE(B166:B179))</f>
        <v/>
      </c>
      <c r="J180" s="14"/>
    </row>
    <row r="181" customFormat="false" ht="15" hidden="false" customHeight="false" outlineLevel="0" collapsed="false">
      <c r="A181" s="10"/>
      <c r="B181" s="11"/>
      <c r="C181" s="11"/>
      <c r="D181" s="11"/>
      <c r="E181" s="11"/>
      <c r="F181" s="12"/>
      <c r="G181" s="11"/>
      <c r="H181" s="11"/>
      <c r="I181" s="13" t="str">
        <f aca="false">IF(OR(B181="",COUNT(B167:B180)&lt;14),"",B181-AVERAGE(B167:B180))</f>
        <v/>
      </c>
      <c r="J181" s="14"/>
    </row>
    <row r="182" customFormat="false" ht="15" hidden="false" customHeight="false" outlineLevel="0" collapsed="false">
      <c r="A182" s="10"/>
      <c r="B182" s="11"/>
      <c r="C182" s="11"/>
      <c r="D182" s="11"/>
      <c r="E182" s="11"/>
      <c r="F182" s="12"/>
      <c r="G182" s="11"/>
      <c r="H182" s="11"/>
      <c r="I182" s="13" t="str">
        <f aca="false">IF(OR(B182="",COUNT(B168:B181)&lt;14),"",B182-AVERAGE(B168:B181))</f>
        <v/>
      </c>
      <c r="J182" s="14"/>
    </row>
    <row r="183" customFormat="false" ht="15" hidden="false" customHeight="false" outlineLevel="0" collapsed="false">
      <c r="A183" s="10"/>
      <c r="B183" s="11"/>
      <c r="C183" s="11"/>
      <c r="D183" s="11"/>
      <c r="E183" s="11"/>
      <c r="F183" s="12"/>
      <c r="G183" s="11"/>
      <c r="H183" s="11"/>
      <c r="I183" s="13" t="str">
        <f aca="false">IF(OR(B183="",COUNT(B169:B182)&lt;14),"",B183-AVERAGE(B169:B182))</f>
        <v/>
      </c>
      <c r="J183" s="14"/>
    </row>
    <row r="184" customFormat="false" ht="15" hidden="false" customHeight="false" outlineLevel="0" collapsed="false">
      <c r="A184" s="10"/>
      <c r="B184" s="11"/>
      <c r="C184" s="11"/>
      <c r="D184" s="11"/>
      <c r="E184" s="11"/>
      <c r="F184" s="12"/>
      <c r="G184" s="11"/>
      <c r="H184" s="11"/>
      <c r="I184" s="13" t="str">
        <f aca="false">IF(OR(B184="",COUNT(B170:B183)&lt;14),"",B184-AVERAGE(B170:B183))</f>
        <v/>
      </c>
      <c r="J184" s="14"/>
    </row>
    <row r="185" customFormat="false" ht="15" hidden="false" customHeight="false" outlineLevel="0" collapsed="false">
      <c r="A185" s="10"/>
      <c r="B185" s="11"/>
      <c r="C185" s="11"/>
      <c r="D185" s="11"/>
      <c r="E185" s="11"/>
      <c r="F185" s="12"/>
      <c r="G185" s="11"/>
      <c r="H185" s="11"/>
      <c r="I185" s="13" t="str">
        <f aca="false">IF(OR(B185="",COUNT(B171:B184)&lt;14),"",B185-AVERAGE(B171:B184))</f>
        <v/>
      </c>
      <c r="J185" s="14"/>
    </row>
    <row r="186" customFormat="false" ht="15" hidden="false" customHeight="false" outlineLevel="0" collapsed="false">
      <c r="A186" s="10"/>
      <c r="B186" s="11"/>
      <c r="C186" s="11"/>
      <c r="D186" s="11"/>
      <c r="E186" s="11"/>
      <c r="F186" s="12"/>
      <c r="G186" s="11"/>
      <c r="H186" s="11"/>
      <c r="I186" s="13" t="str">
        <f aca="false">IF(OR(B186="",COUNT(B172:B185)&lt;14),"",B186-AVERAGE(B172:B185))</f>
        <v/>
      </c>
      <c r="J186" s="14"/>
    </row>
    <row r="187" customFormat="false" ht="15" hidden="false" customHeight="false" outlineLevel="0" collapsed="false">
      <c r="A187" s="10"/>
      <c r="B187" s="11"/>
      <c r="C187" s="11"/>
      <c r="D187" s="11"/>
      <c r="E187" s="11"/>
      <c r="F187" s="12"/>
      <c r="G187" s="11"/>
      <c r="H187" s="11"/>
      <c r="I187" s="13" t="str">
        <f aca="false">IF(OR(B187="",COUNT(B173:B186)&lt;14),"",B187-AVERAGE(B173:B186))</f>
        <v/>
      </c>
      <c r="J187" s="14"/>
    </row>
    <row r="188" customFormat="false" ht="15" hidden="false" customHeight="false" outlineLevel="0" collapsed="false">
      <c r="A188" s="10"/>
      <c r="B188" s="11"/>
      <c r="C188" s="11"/>
      <c r="D188" s="11"/>
      <c r="E188" s="11"/>
      <c r="F188" s="12"/>
      <c r="G188" s="11"/>
      <c r="H188" s="11"/>
      <c r="I188" s="13" t="str">
        <f aca="false">IF(OR(B188="",COUNT(B174:B187)&lt;14),"",B188-AVERAGE(B174:B187))</f>
        <v/>
      </c>
      <c r="J188" s="14"/>
    </row>
    <row r="189" customFormat="false" ht="15" hidden="false" customHeight="false" outlineLevel="0" collapsed="false">
      <c r="A189" s="10"/>
      <c r="B189" s="11"/>
      <c r="C189" s="11"/>
      <c r="D189" s="11"/>
      <c r="E189" s="11"/>
      <c r="F189" s="12"/>
      <c r="G189" s="11"/>
      <c r="H189" s="11"/>
      <c r="I189" s="13" t="str">
        <f aca="false">IF(OR(B189="",COUNT(B175:B188)&lt;14),"",B189-AVERAGE(B175:B188))</f>
        <v/>
      </c>
      <c r="J189" s="14"/>
    </row>
    <row r="190" customFormat="false" ht="15" hidden="false" customHeight="false" outlineLevel="0" collapsed="false">
      <c r="A190" s="10"/>
      <c r="B190" s="11"/>
      <c r="C190" s="11"/>
      <c r="D190" s="11"/>
      <c r="E190" s="11"/>
      <c r="F190" s="12"/>
      <c r="G190" s="11"/>
      <c r="H190" s="11"/>
      <c r="I190" s="13" t="str">
        <f aca="false">IF(OR(B190="",COUNT(B176:B189)&lt;14),"",B190-AVERAGE(B176:B189))</f>
        <v/>
      </c>
      <c r="J190" s="14"/>
    </row>
    <row r="191" customFormat="false" ht="15" hidden="false" customHeight="false" outlineLevel="0" collapsed="false">
      <c r="A191" s="10"/>
      <c r="B191" s="11"/>
      <c r="C191" s="11"/>
      <c r="D191" s="11"/>
      <c r="E191" s="11"/>
      <c r="F191" s="12"/>
      <c r="G191" s="11"/>
      <c r="H191" s="11"/>
      <c r="I191" s="13" t="str">
        <f aca="false">IF(OR(B191="",COUNT(B177:B190)&lt;14),"",B191-AVERAGE(B177:B190))</f>
        <v/>
      </c>
      <c r="J191" s="14"/>
    </row>
    <row r="192" customFormat="false" ht="15" hidden="false" customHeight="false" outlineLevel="0" collapsed="false">
      <c r="A192" s="10"/>
      <c r="B192" s="11"/>
      <c r="C192" s="11"/>
      <c r="D192" s="11"/>
      <c r="E192" s="11"/>
      <c r="F192" s="12"/>
      <c r="G192" s="11"/>
      <c r="H192" s="11"/>
      <c r="I192" s="13" t="str">
        <f aca="false">IF(OR(B192="",COUNT(B178:B191)&lt;14),"",B192-AVERAGE(B178:B191))</f>
        <v/>
      </c>
      <c r="J192" s="14"/>
    </row>
    <row r="193" customFormat="false" ht="15" hidden="false" customHeight="false" outlineLevel="0" collapsed="false">
      <c r="A193" s="10"/>
      <c r="B193" s="11"/>
      <c r="C193" s="11"/>
      <c r="D193" s="11"/>
      <c r="E193" s="11"/>
      <c r="F193" s="12"/>
      <c r="G193" s="11"/>
      <c r="H193" s="11"/>
      <c r="I193" s="13" t="str">
        <f aca="false">IF(OR(B193="",COUNT(B179:B192)&lt;14),"",B193-AVERAGE(B179:B192))</f>
        <v/>
      </c>
      <c r="J193" s="14"/>
    </row>
    <row r="194" customFormat="false" ht="15" hidden="false" customHeight="false" outlineLevel="0" collapsed="false">
      <c r="A194" s="10"/>
      <c r="B194" s="11"/>
      <c r="C194" s="11"/>
      <c r="D194" s="11"/>
      <c r="E194" s="11"/>
      <c r="F194" s="12"/>
      <c r="G194" s="11"/>
      <c r="H194" s="11"/>
      <c r="I194" s="13" t="str">
        <f aca="false">IF(OR(B194="",COUNT(B180:B193)&lt;14),"",B194-AVERAGE(B180:B193))</f>
        <v/>
      </c>
      <c r="J194" s="14"/>
    </row>
    <row r="195" customFormat="false" ht="15" hidden="false" customHeight="false" outlineLevel="0" collapsed="false">
      <c r="A195" s="10"/>
      <c r="B195" s="11"/>
      <c r="C195" s="11"/>
      <c r="D195" s="11"/>
      <c r="E195" s="11"/>
      <c r="F195" s="12"/>
      <c r="G195" s="11"/>
      <c r="H195" s="11"/>
      <c r="I195" s="13" t="str">
        <f aca="false">IF(OR(B195="",COUNT(B181:B194)&lt;14),"",B195-AVERAGE(B181:B194))</f>
        <v/>
      </c>
      <c r="J195" s="14"/>
    </row>
    <row r="196" customFormat="false" ht="15" hidden="false" customHeight="false" outlineLevel="0" collapsed="false">
      <c r="A196" s="10"/>
      <c r="B196" s="11"/>
      <c r="C196" s="11"/>
      <c r="D196" s="11"/>
      <c r="E196" s="11"/>
      <c r="F196" s="12"/>
      <c r="G196" s="11"/>
      <c r="H196" s="11"/>
      <c r="I196" s="13" t="str">
        <f aca="false">IF(OR(B196="",COUNT(B182:B195)&lt;14),"",B196-AVERAGE(B182:B195))</f>
        <v/>
      </c>
      <c r="J196" s="14"/>
    </row>
    <row r="197" customFormat="false" ht="15" hidden="false" customHeight="false" outlineLevel="0" collapsed="false">
      <c r="A197" s="10"/>
      <c r="B197" s="11"/>
      <c r="C197" s="11"/>
      <c r="D197" s="11"/>
      <c r="E197" s="11"/>
      <c r="F197" s="12"/>
      <c r="G197" s="11"/>
      <c r="H197" s="11"/>
      <c r="I197" s="13" t="str">
        <f aca="false">IF(OR(B197="",COUNT(B183:B196)&lt;14),"",B197-AVERAGE(B183:B196))</f>
        <v/>
      </c>
      <c r="J197" s="14"/>
    </row>
    <row r="198" customFormat="false" ht="15" hidden="false" customHeight="false" outlineLevel="0" collapsed="false">
      <c r="A198" s="10"/>
      <c r="B198" s="11"/>
      <c r="C198" s="11"/>
      <c r="D198" s="11"/>
      <c r="E198" s="11"/>
      <c r="F198" s="12"/>
      <c r="G198" s="11"/>
      <c r="H198" s="11"/>
      <c r="I198" s="13" t="str">
        <f aca="false">IF(OR(B198="",COUNT(B184:B197)&lt;14),"",B198-AVERAGE(B184:B197))</f>
        <v/>
      </c>
      <c r="J198" s="14"/>
    </row>
    <row r="199" customFormat="false" ht="15" hidden="false" customHeight="false" outlineLevel="0" collapsed="false">
      <c r="A199" s="10"/>
      <c r="B199" s="11"/>
      <c r="C199" s="11"/>
      <c r="D199" s="11"/>
      <c r="E199" s="11"/>
      <c r="F199" s="12"/>
      <c r="G199" s="11"/>
      <c r="H199" s="11"/>
      <c r="I199" s="13" t="str">
        <f aca="false">IF(OR(B199="",COUNT(B185:B198)&lt;14),"",B199-AVERAGE(B185:B198))</f>
        <v/>
      </c>
      <c r="J199" s="14"/>
    </row>
    <row r="200" customFormat="false" ht="15" hidden="false" customHeight="false" outlineLevel="0" collapsed="false">
      <c r="A200" s="10"/>
      <c r="B200" s="11"/>
      <c r="C200" s="11"/>
      <c r="D200" s="11"/>
      <c r="E200" s="11"/>
      <c r="F200" s="12"/>
      <c r="G200" s="11"/>
      <c r="H200" s="11"/>
      <c r="I200" s="13" t="str">
        <f aca="false">IF(OR(B200="",COUNT(B186:B199)&lt;14),"",B200-AVERAGE(B186:B199))</f>
        <v/>
      </c>
      <c r="J200" s="14"/>
    </row>
    <row r="201" customFormat="false" ht="15" hidden="false" customHeight="false" outlineLevel="0" collapsed="false">
      <c r="A201" s="10"/>
      <c r="B201" s="11"/>
      <c r="C201" s="11"/>
      <c r="D201" s="11"/>
      <c r="E201" s="11"/>
      <c r="F201" s="12"/>
      <c r="G201" s="11"/>
      <c r="H201" s="11"/>
      <c r="I201" s="13" t="str">
        <f aca="false">IF(OR(B201="",COUNT(B187:B200)&lt;14),"",B201-AVERAGE(B187:B200))</f>
        <v/>
      </c>
      <c r="J201" s="14"/>
    </row>
    <row r="202" customFormat="false" ht="15" hidden="false" customHeight="false" outlineLevel="0" collapsed="false">
      <c r="A202" s="10"/>
      <c r="B202" s="11"/>
      <c r="C202" s="11"/>
      <c r="D202" s="11"/>
      <c r="E202" s="11"/>
      <c r="F202" s="12"/>
      <c r="G202" s="11"/>
      <c r="H202" s="11"/>
      <c r="I202" s="13" t="str">
        <f aca="false">IF(OR(B202="",COUNT(B188:B201)&lt;14),"",B202-AVERAGE(B188:B201))</f>
        <v/>
      </c>
      <c r="J202" s="14"/>
    </row>
    <row r="203" customFormat="false" ht="15" hidden="false" customHeight="false" outlineLevel="0" collapsed="false">
      <c r="A203" s="10"/>
      <c r="B203" s="11"/>
      <c r="C203" s="11"/>
      <c r="D203" s="11"/>
      <c r="E203" s="11"/>
      <c r="F203" s="12"/>
      <c r="G203" s="11"/>
      <c r="H203" s="11"/>
      <c r="I203" s="13" t="str">
        <f aca="false">IF(OR(B203="",COUNT(B189:B202)&lt;14),"",B203-AVERAGE(B189:B202))</f>
        <v/>
      </c>
      <c r="J203" s="14"/>
    </row>
    <row r="204" customFormat="false" ht="15" hidden="false" customHeight="false" outlineLevel="0" collapsed="false">
      <c r="A204" s="10"/>
      <c r="B204" s="11"/>
      <c r="C204" s="11"/>
      <c r="D204" s="11"/>
      <c r="E204" s="11"/>
      <c r="F204" s="12"/>
      <c r="G204" s="11"/>
      <c r="H204" s="11"/>
      <c r="I204" s="13" t="str">
        <f aca="false">IF(OR(B204="",COUNT(B190:B203)&lt;14),"",B204-AVERAGE(B190:B203))</f>
        <v/>
      </c>
      <c r="J204" s="14"/>
    </row>
    <row r="205" customFormat="false" ht="15" hidden="false" customHeight="false" outlineLevel="0" collapsed="false">
      <c r="A205" s="10"/>
      <c r="B205" s="11"/>
      <c r="C205" s="11"/>
      <c r="D205" s="11"/>
      <c r="E205" s="11"/>
      <c r="F205" s="12"/>
      <c r="G205" s="11"/>
      <c r="H205" s="11"/>
      <c r="I205" s="13" t="str">
        <f aca="false">IF(OR(B205="",COUNT(B191:B204)&lt;14),"",B205-AVERAGE(B191:B204))</f>
        <v/>
      </c>
      <c r="J205" s="14"/>
    </row>
    <row r="206" customFormat="false" ht="15" hidden="false" customHeight="false" outlineLevel="0" collapsed="false">
      <c r="A206" s="10"/>
      <c r="B206" s="11"/>
      <c r="C206" s="11"/>
      <c r="D206" s="11"/>
      <c r="E206" s="11"/>
      <c r="F206" s="12"/>
      <c r="G206" s="11"/>
      <c r="H206" s="11"/>
      <c r="I206" s="13" t="str">
        <f aca="false">IF(OR(B206="",COUNT(B192:B205)&lt;14),"",B206-AVERAGE(B192:B205))</f>
        <v/>
      </c>
      <c r="J206" s="14"/>
    </row>
    <row r="207" customFormat="false" ht="15" hidden="false" customHeight="false" outlineLevel="0" collapsed="false">
      <c r="A207" s="10"/>
      <c r="B207" s="11"/>
      <c r="C207" s="11"/>
      <c r="D207" s="11"/>
      <c r="E207" s="11"/>
      <c r="F207" s="12"/>
      <c r="G207" s="11"/>
      <c r="H207" s="11"/>
      <c r="I207" s="13" t="str">
        <f aca="false">IF(OR(B207="",COUNT(B193:B206)&lt;14),"",B207-AVERAGE(B193:B206))</f>
        <v/>
      </c>
      <c r="J207" s="14"/>
    </row>
    <row r="208" customFormat="false" ht="15" hidden="false" customHeight="false" outlineLevel="0" collapsed="false">
      <c r="A208" s="10"/>
      <c r="B208" s="11"/>
      <c r="C208" s="11"/>
      <c r="D208" s="11"/>
      <c r="E208" s="11"/>
      <c r="F208" s="12"/>
      <c r="G208" s="11"/>
      <c r="H208" s="11"/>
      <c r="I208" s="13" t="str">
        <f aca="false">IF(OR(B208="",COUNT(B194:B207)&lt;14),"",B208-AVERAGE(B194:B207))</f>
        <v/>
      </c>
      <c r="J208" s="14"/>
    </row>
    <row r="209" customFormat="false" ht="15" hidden="false" customHeight="false" outlineLevel="0" collapsed="false">
      <c r="A209" s="10"/>
      <c r="B209" s="11"/>
      <c r="C209" s="11"/>
      <c r="D209" s="11"/>
      <c r="E209" s="11"/>
      <c r="F209" s="12"/>
      <c r="G209" s="11"/>
      <c r="H209" s="11"/>
      <c r="I209" s="13" t="str">
        <f aca="false">IF(OR(B209="",COUNT(B195:B208)&lt;14),"",B209-AVERAGE(B195:B208))</f>
        <v/>
      </c>
      <c r="J209" s="14"/>
    </row>
    <row r="210" customFormat="false" ht="15" hidden="false" customHeight="false" outlineLevel="0" collapsed="false">
      <c r="A210" s="10"/>
      <c r="B210" s="11"/>
      <c r="C210" s="11"/>
      <c r="D210" s="11"/>
      <c r="E210" s="11"/>
      <c r="F210" s="12"/>
      <c r="G210" s="11"/>
      <c r="H210" s="11"/>
      <c r="I210" s="13" t="str">
        <f aca="false">IF(OR(B210="",COUNT(B196:B209)&lt;14),"",B210-AVERAGE(B196:B209))</f>
        <v/>
      </c>
      <c r="J210" s="14"/>
    </row>
    <row r="211" customFormat="false" ht="15" hidden="false" customHeight="false" outlineLevel="0" collapsed="false">
      <c r="A211" s="10"/>
      <c r="B211" s="11"/>
      <c r="C211" s="11"/>
      <c r="D211" s="11"/>
      <c r="E211" s="11"/>
      <c r="F211" s="12"/>
      <c r="G211" s="11"/>
      <c r="H211" s="11"/>
      <c r="I211" s="13" t="str">
        <f aca="false">IF(OR(B211="",COUNT(B197:B210)&lt;14),"",B211-AVERAGE(B197:B210))</f>
        <v/>
      </c>
      <c r="J211" s="14"/>
    </row>
    <row r="212" customFormat="false" ht="15" hidden="false" customHeight="false" outlineLevel="0" collapsed="false">
      <c r="A212" s="10"/>
      <c r="B212" s="11"/>
      <c r="C212" s="11"/>
      <c r="D212" s="11"/>
      <c r="E212" s="11"/>
      <c r="F212" s="12"/>
      <c r="G212" s="11"/>
      <c r="H212" s="11"/>
      <c r="I212" s="13" t="str">
        <f aca="false">IF(OR(B212="",COUNT(B198:B211)&lt;14),"",B212-AVERAGE(B198:B211))</f>
        <v/>
      </c>
      <c r="J212" s="14"/>
    </row>
    <row r="213" customFormat="false" ht="15" hidden="false" customHeight="false" outlineLevel="0" collapsed="false">
      <c r="A213" s="10"/>
      <c r="B213" s="11"/>
      <c r="C213" s="11"/>
      <c r="D213" s="11"/>
      <c r="E213" s="11"/>
      <c r="F213" s="12"/>
      <c r="G213" s="11"/>
      <c r="H213" s="11"/>
      <c r="I213" s="13" t="str">
        <f aca="false">IF(OR(B213="",COUNT(B199:B212)&lt;14),"",B213-AVERAGE(B199:B212))</f>
        <v/>
      </c>
      <c r="J213" s="14"/>
    </row>
    <row r="214" customFormat="false" ht="15" hidden="false" customHeight="false" outlineLevel="0" collapsed="false">
      <c r="A214" s="10"/>
      <c r="B214" s="11"/>
      <c r="C214" s="11"/>
      <c r="D214" s="11"/>
      <c r="E214" s="11"/>
      <c r="F214" s="12"/>
      <c r="G214" s="11"/>
      <c r="H214" s="11"/>
      <c r="I214" s="13" t="str">
        <f aca="false">IF(OR(B214="",COUNT(B200:B213)&lt;14),"",B214-AVERAGE(B200:B213))</f>
        <v/>
      </c>
      <c r="J214" s="14"/>
    </row>
    <row r="215" customFormat="false" ht="15" hidden="false" customHeight="false" outlineLevel="0" collapsed="false">
      <c r="A215" s="10"/>
      <c r="B215" s="11"/>
      <c r="C215" s="11"/>
      <c r="D215" s="11"/>
      <c r="E215" s="11"/>
      <c r="F215" s="12"/>
      <c r="G215" s="11"/>
      <c r="H215" s="11"/>
      <c r="I215" s="13" t="str">
        <f aca="false">IF(OR(B215="",COUNT(B201:B214)&lt;14),"",B215-AVERAGE(B201:B214))</f>
        <v/>
      </c>
      <c r="J215" s="14"/>
    </row>
    <row r="216" customFormat="false" ht="15" hidden="false" customHeight="false" outlineLevel="0" collapsed="false">
      <c r="A216" s="10"/>
      <c r="B216" s="11"/>
      <c r="C216" s="11"/>
      <c r="D216" s="11"/>
      <c r="E216" s="11"/>
      <c r="F216" s="12"/>
      <c r="G216" s="11"/>
      <c r="H216" s="11"/>
      <c r="I216" s="13" t="str">
        <f aca="false">IF(OR(B216="",COUNT(B202:B215)&lt;14),"",B216-AVERAGE(B202:B215))</f>
        <v/>
      </c>
      <c r="J216" s="14"/>
    </row>
    <row r="217" customFormat="false" ht="15" hidden="false" customHeight="false" outlineLevel="0" collapsed="false">
      <c r="A217" s="10"/>
      <c r="B217" s="11"/>
      <c r="C217" s="11"/>
      <c r="D217" s="11"/>
      <c r="E217" s="11"/>
      <c r="F217" s="12"/>
      <c r="G217" s="11"/>
      <c r="H217" s="11"/>
      <c r="I217" s="13" t="str">
        <f aca="false">IF(OR(B217="",COUNT(B203:B216)&lt;14),"",B217-AVERAGE(B203:B216))</f>
        <v/>
      </c>
      <c r="J217" s="14"/>
    </row>
    <row r="218" customFormat="false" ht="15" hidden="false" customHeight="false" outlineLevel="0" collapsed="false">
      <c r="A218" s="10"/>
      <c r="B218" s="11"/>
      <c r="C218" s="11"/>
      <c r="D218" s="11"/>
      <c r="E218" s="11"/>
      <c r="F218" s="12"/>
      <c r="G218" s="11"/>
      <c r="H218" s="11"/>
      <c r="I218" s="13" t="str">
        <f aca="false">IF(OR(B218="",COUNT(B204:B217)&lt;14),"",B218-AVERAGE(B204:B217))</f>
        <v/>
      </c>
      <c r="J218" s="14"/>
    </row>
    <row r="219" customFormat="false" ht="15" hidden="false" customHeight="false" outlineLevel="0" collapsed="false">
      <c r="A219" s="10"/>
      <c r="B219" s="11"/>
      <c r="C219" s="11"/>
      <c r="D219" s="11"/>
      <c r="E219" s="11"/>
      <c r="F219" s="12"/>
      <c r="G219" s="11"/>
      <c r="H219" s="11"/>
      <c r="I219" s="13" t="str">
        <f aca="false">IF(OR(B219="",COUNT(B205:B218)&lt;14),"",B219-AVERAGE(B205:B218))</f>
        <v/>
      </c>
      <c r="J219" s="14"/>
    </row>
    <row r="220" customFormat="false" ht="15" hidden="false" customHeight="false" outlineLevel="0" collapsed="false">
      <c r="A220" s="10"/>
      <c r="B220" s="11"/>
      <c r="C220" s="11"/>
      <c r="D220" s="11"/>
      <c r="E220" s="11"/>
      <c r="F220" s="12"/>
      <c r="G220" s="11"/>
      <c r="H220" s="11"/>
      <c r="I220" s="13" t="str">
        <f aca="false">IF(OR(B220="",COUNT(B206:B219)&lt;14),"",B220-AVERAGE(B206:B219))</f>
        <v/>
      </c>
      <c r="J220" s="14"/>
    </row>
    <row r="221" customFormat="false" ht="15" hidden="false" customHeight="false" outlineLevel="0" collapsed="false">
      <c r="A221" s="10"/>
      <c r="B221" s="11"/>
      <c r="C221" s="11"/>
      <c r="D221" s="11"/>
      <c r="E221" s="11"/>
      <c r="F221" s="12"/>
      <c r="G221" s="11"/>
      <c r="H221" s="11"/>
      <c r="I221" s="13" t="str">
        <f aca="false">IF(OR(B221="",COUNT(B207:B220)&lt;14),"",B221-AVERAGE(B207:B220))</f>
        <v/>
      </c>
      <c r="J221" s="14"/>
    </row>
    <row r="222" customFormat="false" ht="15" hidden="false" customHeight="false" outlineLevel="0" collapsed="false">
      <c r="A222" s="10"/>
      <c r="B222" s="11"/>
      <c r="C222" s="11"/>
      <c r="D222" s="11"/>
      <c r="E222" s="11"/>
      <c r="F222" s="12"/>
      <c r="G222" s="11"/>
      <c r="H222" s="11"/>
      <c r="I222" s="13" t="str">
        <f aca="false">IF(OR(B222="",COUNT(B208:B221)&lt;14),"",B222-AVERAGE(B208:B221))</f>
        <v/>
      </c>
      <c r="J222" s="14"/>
    </row>
    <row r="223" customFormat="false" ht="15" hidden="false" customHeight="false" outlineLevel="0" collapsed="false">
      <c r="A223" s="10"/>
      <c r="B223" s="11"/>
      <c r="C223" s="11"/>
      <c r="D223" s="11"/>
      <c r="E223" s="11"/>
      <c r="F223" s="12"/>
      <c r="G223" s="11"/>
      <c r="H223" s="11"/>
      <c r="I223" s="13" t="str">
        <f aca="false">IF(OR(B223="",COUNT(B209:B222)&lt;14),"",B223-AVERAGE(B209:B222))</f>
        <v/>
      </c>
      <c r="J223" s="14"/>
    </row>
    <row r="224" customFormat="false" ht="15" hidden="false" customHeight="false" outlineLevel="0" collapsed="false">
      <c r="A224" s="10"/>
      <c r="B224" s="11"/>
      <c r="C224" s="11"/>
      <c r="D224" s="11"/>
      <c r="E224" s="11"/>
      <c r="F224" s="12"/>
      <c r="G224" s="11"/>
      <c r="H224" s="11"/>
      <c r="I224" s="13" t="str">
        <f aca="false">IF(OR(B224="",COUNT(B210:B223)&lt;14),"",B224-AVERAGE(B210:B223))</f>
        <v/>
      </c>
      <c r="J224" s="14"/>
    </row>
    <row r="225" customFormat="false" ht="15" hidden="false" customHeight="false" outlineLevel="0" collapsed="false">
      <c r="A225" s="10"/>
      <c r="B225" s="11"/>
      <c r="C225" s="11"/>
      <c r="D225" s="11"/>
      <c r="E225" s="11"/>
      <c r="F225" s="12"/>
      <c r="G225" s="11"/>
      <c r="H225" s="11"/>
      <c r="I225" s="13" t="str">
        <f aca="false">IF(OR(B225="",COUNT(B211:B224)&lt;14),"",B225-AVERAGE(B211:B224))</f>
        <v/>
      </c>
      <c r="J225" s="14"/>
    </row>
    <row r="226" customFormat="false" ht="15" hidden="false" customHeight="false" outlineLevel="0" collapsed="false">
      <c r="A226" s="10"/>
      <c r="B226" s="11"/>
      <c r="C226" s="11"/>
      <c r="D226" s="11"/>
      <c r="E226" s="11"/>
      <c r="F226" s="12"/>
      <c r="G226" s="11"/>
      <c r="H226" s="11"/>
      <c r="I226" s="13" t="str">
        <f aca="false">IF(OR(B226="",COUNT(B212:B225)&lt;14),"",B226-AVERAGE(B212:B225))</f>
        <v/>
      </c>
      <c r="J226" s="14"/>
    </row>
    <row r="227" customFormat="false" ht="15" hidden="false" customHeight="false" outlineLevel="0" collapsed="false">
      <c r="A227" s="10"/>
      <c r="B227" s="11"/>
      <c r="C227" s="11"/>
      <c r="D227" s="11"/>
      <c r="E227" s="11"/>
      <c r="F227" s="12"/>
      <c r="G227" s="11"/>
      <c r="H227" s="11"/>
      <c r="I227" s="13" t="str">
        <f aca="false">IF(OR(B227="",COUNT(B213:B226)&lt;14),"",B227-AVERAGE(B213:B226))</f>
        <v/>
      </c>
      <c r="J227" s="14"/>
    </row>
    <row r="228" customFormat="false" ht="15" hidden="false" customHeight="false" outlineLevel="0" collapsed="false">
      <c r="A228" s="10"/>
      <c r="B228" s="11"/>
      <c r="C228" s="11"/>
      <c r="D228" s="11"/>
      <c r="E228" s="11"/>
      <c r="F228" s="12"/>
      <c r="G228" s="11"/>
      <c r="H228" s="11"/>
      <c r="I228" s="13" t="str">
        <f aca="false">IF(OR(B228="",COUNT(B214:B227)&lt;14),"",B228-AVERAGE(B214:B227))</f>
        <v/>
      </c>
      <c r="J228" s="14"/>
    </row>
    <row r="229" customFormat="false" ht="15" hidden="false" customHeight="false" outlineLevel="0" collapsed="false">
      <c r="A229" s="10"/>
      <c r="B229" s="11"/>
      <c r="C229" s="11"/>
      <c r="D229" s="11"/>
      <c r="E229" s="11"/>
      <c r="F229" s="12"/>
      <c r="G229" s="11"/>
      <c r="H229" s="11"/>
      <c r="I229" s="13" t="str">
        <f aca="false">IF(OR(B229="",COUNT(B215:B228)&lt;14),"",B229-AVERAGE(B215:B228))</f>
        <v/>
      </c>
      <c r="J229" s="14"/>
    </row>
    <row r="230" customFormat="false" ht="15" hidden="false" customHeight="false" outlineLevel="0" collapsed="false">
      <c r="A230" s="10"/>
      <c r="B230" s="11"/>
      <c r="C230" s="11"/>
      <c r="D230" s="11"/>
      <c r="E230" s="11"/>
      <c r="F230" s="12"/>
      <c r="G230" s="11"/>
      <c r="H230" s="11"/>
      <c r="I230" s="13" t="str">
        <f aca="false">IF(OR(B230="",COUNT(B216:B229)&lt;14),"",B230-AVERAGE(B216:B229))</f>
        <v/>
      </c>
      <c r="J230" s="14"/>
    </row>
    <row r="231" customFormat="false" ht="15" hidden="false" customHeight="false" outlineLevel="0" collapsed="false">
      <c r="A231" s="10"/>
      <c r="B231" s="11"/>
      <c r="C231" s="11"/>
      <c r="D231" s="11"/>
      <c r="E231" s="11"/>
      <c r="F231" s="12"/>
      <c r="G231" s="11"/>
      <c r="H231" s="11"/>
      <c r="I231" s="13" t="str">
        <f aca="false">IF(OR(B231="",COUNT(B217:B230)&lt;14),"",B231-AVERAGE(B217:B230))</f>
        <v/>
      </c>
      <c r="J231" s="14"/>
    </row>
    <row r="232" customFormat="false" ht="15" hidden="false" customHeight="false" outlineLevel="0" collapsed="false">
      <c r="A232" s="10"/>
      <c r="B232" s="11"/>
      <c r="C232" s="11"/>
      <c r="D232" s="11"/>
      <c r="E232" s="11"/>
      <c r="F232" s="12"/>
      <c r="G232" s="11"/>
      <c r="H232" s="11"/>
      <c r="I232" s="13" t="str">
        <f aca="false">IF(OR(B232="",COUNT(B218:B231)&lt;14),"",B232-AVERAGE(B218:B231))</f>
        <v/>
      </c>
      <c r="J232" s="14"/>
    </row>
    <row r="233" customFormat="false" ht="15" hidden="false" customHeight="false" outlineLevel="0" collapsed="false">
      <c r="A233" s="10"/>
      <c r="B233" s="11"/>
      <c r="C233" s="11"/>
      <c r="D233" s="11"/>
      <c r="E233" s="11"/>
      <c r="F233" s="12"/>
      <c r="G233" s="11"/>
      <c r="H233" s="11"/>
      <c r="I233" s="13" t="str">
        <f aca="false">IF(OR(B233="",COUNT(B219:B232)&lt;14),"",B233-AVERAGE(B219:B232))</f>
        <v/>
      </c>
      <c r="J233" s="14"/>
    </row>
    <row r="234" customFormat="false" ht="15" hidden="false" customHeight="false" outlineLevel="0" collapsed="false">
      <c r="A234" s="10"/>
      <c r="B234" s="11"/>
      <c r="C234" s="11"/>
      <c r="D234" s="11"/>
      <c r="E234" s="11"/>
      <c r="F234" s="12"/>
      <c r="G234" s="11"/>
      <c r="H234" s="11"/>
      <c r="I234" s="13" t="str">
        <f aca="false">IF(OR(B234="",COUNT(B220:B233)&lt;14),"",B234-AVERAGE(B220:B233))</f>
        <v/>
      </c>
      <c r="J234" s="14"/>
    </row>
    <row r="235" customFormat="false" ht="15" hidden="false" customHeight="false" outlineLevel="0" collapsed="false">
      <c r="A235" s="10"/>
      <c r="B235" s="11"/>
      <c r="C235" s="11"/>
      <c r="D235" s="11"/>
      <c r="E235" s="11"/>
      <c r="F235" s="12"/>
      <c r="G235" s="11"/>
      <c r="H235" s="11"/>
      <c r="I235" s="13" t="str">
        <f aca="false">IF(OR(B235="",COUNT(B221:B234)&lt;14),"",B235-AVERAGE(B221:B234))</f>
        <v/>
      </c>
      <c r="J235" s="14"/>
    </row>
    <row r="236" customFormat="false" ht="15" hidden="false" customHeight="false" outlineLevel="0" collapsed="false">
      <c r="A236" s="10"/>
      <c r="B236" s="11"/>
      <c r="C236" s="11"/>
      <c r="D236" s="11"/>
      <c r="E236" s="11"/>
      <c r="F236" s="12"/>
      <c r="G236" s="11"/>
      <c r="H236" s="11"/>
      <c r="I236" s="13" t="str">
        <f aca="false">IF(OR(B236="",COUNT(B222:B235)&lt;14),"",B236-AVERAGE(B222:B235))</f>
        <v/>
      </c>
      <c r="J236" s="14"/>
    </row>
    <row r="237" customFormat="false" ht="15" hidden="false" customHeight="false" outlineLevel="0" collapsed="false">
      <c r="A237" s="10"/>
      <c r="B237" s="11"/>
      <c r="C237" s="11"/>
      <c r="D237" s="11"/>
      <c r="E237" s="11"/>
      <c r="F237" s="12"/>
      <c r="G237" s="11"/>
      <c r="H237" s="11"/>
      <c r="I237" s="13" t="str">
        <f aca="false">IF(OR(B237="",COUNT(B223:B236)&lt;14),"",B237-AVERAGE(B223:B236))</f>
        <v/>
      </c>
      <c r="J237" s="14"/>
    </row>
    <row r="238" customFormat="false" ht="15" hidden="false" customHeight="false" outlineLevel="0" collapsed="false">
      <c r="A238" s="10"/>
      <c r="B238" s="11"/>
      <c r="C238" s="11"/>
      <c r="D238" s="11"/>
      <c r="E238" s="11"/>
      <c r="F238" s="12"/>
      <c r="G238" s="11"/>
      <c r="H238" s="11"/>
      <c r="I238" s="13" t="str">
        <f aca="false">IF(OR(B238="",COUNT(B224:B237)&lt;14),"",B238-AVERAGE(B224:B237))</f>
        <v/>
      </c>
      <c r="J238" s="14"/>
    </row>
    <row r="239" customFormat="false" ht="15" hidden="false" customHeight="false" outlineLevel="0" collapsed="false">
      <c r="A239" s="10"/>
      <c r="B239" s="11"/>
      <c r="C239" s="11"/>
      <c r="D239" s="11"/>
      <c r="E239" s="11"/>
      <c r="F239" s="12"/>
      <c r="G239" s="11"/>
      <c r="H239" s="11"/>
      <c r="I239" s="13" t="str">
        <f aca="false">IF(OR(B239="",COUNT(B225:B238)&lt;14),"",B239-AVERAGE(B225:B238))</f>
        <v/>
      </c>
      <c r="J239" s="14"/>
    </row>
    <row r="240" customFormat="false" ht="15" hidden="false" customHeight="false" outlineLevel="0" collapsed="false">
      <c r="A240" s="10"/>
      <c r="B240" s="11"/>
      <c r="C240" s="11"/>
      <c r="D240" s="11"/>
      <c r="E240" s="11"/>
      <c r="F240" s="12"/>
      <c r="G240" s="11"/>
      <c r="H240" s="11"/>
      <c r="I240" s="13" t="str">
        <f aca="false">IF(OR(B240="",COUNT(B226:B239)&lt;14),"",B240-AVERAGE(B226:B239))</f>
        <v/>
      </c>
      <c r="J240" s="14"/>
    </row>
    <row r="241" customFormat="false" ht="15" hidden="false" customHeight="false" outlineLevel="0" collapsed="false">
      <c r="A241" s="10"/>
      <c r="B241" s="11"/>
      <c r="C241" s="11"/>
      <c r="D241" s="11"/>
      <c r="E241" s="11"/>
      <c r="F241" s="12"/>
      <c r="G241" s="11"/>
      <c r="H241" s="11"/>
      <c r="I241" s="13" t="str">
        <f aca="false">IF(OR(B241="",COUNT(B227:B240)&lt;14),"",B241-AVERAGE(B227:B240))</f>
        <v/>
      </c>
      <c r="J241" s="14"/>
    </row>
    <row r="242" customFormat="false" ht="15" hidden="false" customHeight="false" outlineLevel="0" collapsed="false">
      <c r="A242" s="10"/>
      <c r="B242" s="11"/>
      <c r="C242" s="11"/>
      <c r="D242" s="11"/>
      <c r="E242" s="11"/>
      <c r="F242" s="12"/>
      <c r="G242" s="11"/>
      <c r="H242" s="11"/>
      <c r="I242" s="13" t="str">
        <f aca="false">IF(OR(B242="",COUNT(B228:B241)&lt;14),"",B242-AVERAGE(B228:B241))</f>
        <v/>
      </c>
      <c r="J242" s="14"/>
    </row>
    <row r="243" customFormat="false" ht="15" hidden="false" customHeight="false" outlineLevel="0" collapsed="false">
      <c r="A243" s="10"/>
      <c r="B243" s="11"/>
      <c r="C243" s="11"/>
      <c r="D243" s="11"/>
      <c r="E243" s="11"/>
      <c r="F243" s="12"/>
      <c r="G243" s="11"/>
      <c r="H243" s="11"/>
      <c r="I243" s="13" t="str">
        <f aca="false">IF(OR(B243="",COUNT(B229:B242)&lt;14),"",B243-AVERAGE(B229:B242))</f>
        <v/>
      </c>
      <c r="J243" s="14"/>
    </row>
    <row r="244" customFormat="false" ht="15" hidden="false" customHeight="false" outlineLevel="0" collapsed="false">
      <c r="A244" s="10"/>
      <c r="B244" s="11"/>
      <c r="C244" s="11"/>
      <c r="D244" s="11"/>
      <c r="E244" s="11"/>
      <c r="F244" s="12"/>
      <c r="G244" s="11"/>
      <c r="H244" s="11"/>
      <c r="I244" s="13" t="str">
        <f aca="false">IF(OR(B244="",COUNT(B230:B243)&lt;14),"",B244-AVERAGE(B230:B243))</f>
        <v/>
      </c>
      <c r="J244" s="14"/>
    </row>
    <row r="245" customFormat="false" ht="15" hidden="false" customHeight="false" outlineLevel="0" collapsed="false">
      <c r="A245" s="10"/>
      <c r="B245" s="11"/>
      <c r="C245" s="11"/>
      <c r="D245" s="11"/>
      <c r="E245" s="11"/>
      <c r="F245" s="12"/>
      <c r="G245" s="11"/>
      <c r="H245" s="11"/>
      <c r="I245" s="13" t="str">
        <f aca="false">IF(OR(B245="",COUNT(B231:B244)&lt;14),"",B245-AVERAGE(B231:B244))</f>
        <v/>
      </c>
      <c r="J245" s="14"/>
    </row>
    <row r="246" customFormat="false" ht="15" hidden="false" customHeight="false" outlineLevel="0" collapsed="false">
      <c r="A246" s="10"/>
      <c r="B246" s="11"/>
      <c r="C246" s="11"/>
      <c r="D246" s="11"/>
      <c r="E246" s="11"/>
      <c r="F246" s="12"/>
      <c r="G246" s="11"/>
      <c r="H246" s="11"/>
      <c r="I246" s="13" t="str">
        <f aca="false">IF(OR(B246="",COUNT(B232:B245)&lt;14),"",B246-AVERAGE(B232:B245))</f>
        <v/>
      </c>
      <c r="J246" s="14"/>
    </row>
    <row r="247" customFormat="false" ht="15" hidden="false" customHeight="false" outlineLevel="0" collapsed="false">
      <c r="A247" s="10"/>
      <c r="B247" s="11"/>
      <c r="C247" s="11"/>
      <c r="D247" s="11"/>
      <c r="E247" s="11"/>
      <c r="F247" s="12"/>
      <c r="G247" s="11"/>
      <c r="H247" s="11"/>
      <c r="I247" s="13" t="str">
        <f aca="false">IF(OR(B247="",COUNT(B233:B246)&lt;14),"",B247-AVERAGE(B233:B246))</f>
        <v/>
      </c>
      <c r="J247" s="14"/>
    </row>
    <row r="248" customFormat="false" ht="15" hidden="false" customHeight="false" outlineLevel="0" collapsed="false">
      <c r="A248" s="10"/>
      <c r="B248" s="11"/>
      <c r="C248" s="11"/>
      <c r="D248" s="11"/>
      <c r="E248" s="11"/>
      <c r="F248" s="12"/>
      <c r="G248" s="11"/>
      <c r="H248" s="11"/>
      <c r="I248" s="13" t="str">
        <f aca="false">IF(OR(B248="",COUNT(B234:B247)&lt;14),"",B248-AVERAGE(B234:B247))</f>
        <v/>
      </c>
      <c r="J248" s="14"/>
    </row>
    <row r="249" customFormat="false" ht="15" hidden="false" customHeight="false" outlineLevel="0" collapsed="false">
      <c r="A249" s="10"/>
      <c r="B249" s="11"/>
      <c r="C249" s="11"/>
      <c r="D249" s="11"/>
      <c r="E249" s="11"/>
      <c r="F249" s="12"/>
      <c r="G249" s="11"/>
      <c r="H249" s="11"/>
      <c r="I249" s="13" t="str">
        <f aca="false">IF(OR(B249="",COUNT(B235:B248)&lt;14),"",B249-AVERAGE(B235:B248))</f>
        <v/>
      </c>
      <c r="J249" s="14"/>
    </row>
    <row r="250" customFormat="false" ht="15" hidden="false" customHeight="false" outlineLevel="0" collapsed="false">
      <c r="A250" s="10"/>
      <c r="B250" s="11"/>
      <c r="C250" s="11"/>
      <c r="D250" s="11"/>
      <c r="E250" s="11"/>
      <c r="F250" s="12"/>
      <c r="G250" s="11"/>
      <c r="H250" s="11"/>
      <c r="I250" s="13" t="str">
        <f aca="false">IF(OR(B250="",COUNT(B236:B249)&lt;14),"",B250-AVERAGE(B236:B249))</f>
        <v/>
      </c>
      <c r="J250" s="14"/>
    </row>
    <row r="251" customFormat="false" ht="15" hidden="false" customHeight="false" outlineLevel="0" collapsed="false">
      <c r="A251" s="10"/>
      <c r="B251" s="11"/>
      <c r="C251" s="11"/>
      <c r="D251" s="11"/>
      <c r="E251" s="11"/>
      <c r="F251" s="12"/>
      <c r="G251" s="11"/>
      <c r="H251" s="11"/>
      <c r="I251" s="13" t="str">
        <f aca="false">IF(OR(B251="",COUNT(B237:B250)&lt;14),"",B251-AVERAGE(B237:B250))</f>
        <v/>
      </c>
      <c r="J251" s="14"/>
    </row>
    <row r="252" customFormat="false" ht="15" hidden="false" customHeight="false" outlineLevel="0" collapsed="false">
      <c r="A252" s="10"/>
      <c r="B252" s="11"/>
      <c r="C252" s="11"/>
      <c r="D252" s="11"/>
      <c r="E252" s="11"/>
      <c r="F252" s="12"/>
      <c r="G252" s="11"/>
      <c r="H252" s="11"/>
      <c r="I252" s="13" t="str">
        <f aca="false">IF(OR(B252="",COUNT(B238:B251)&lt;14),"",B252-AVERAGE(B238:B251))</f>
        <v/>
      </c>
      <c r="J252" s="14"/>
    </row>
    <row r="253" customFormat="false" ht="15" hidden="false" customHeight="false" outlineLevel="0" collapsed="false">
      <c r="A253" s="10"/>
      <c r="B253" s="11"/>
      <c r="C253" s="11"/>
      <c r="D253" s="11"/>
      <c r="E253" s="11"/>
      <c r="F253" s="12"/>
      <c r="G253" s="11"/>
      <c r="H253" s="11"/>
      <c r="I253" s="13" t="str">
        <f aca="false">IF(OR(B253="",COUNT(B239:B252)&lt;14),"",B253-AVERAGE(B239:B252))</f>
        <v/>
      </c>
      <c r="J253" s="14"/>
    </row>
    <row r="254" customFormat="false" ht="15" hidden="false" customHeight="false" outlineLevel="0" collapsed="false">
      <c r="A254" s="10"/>
      <c r="B254" s="11"/>
      <c r="C254" s="11"/>
      <c r="D254" s="11"/>
      <c r="E254" s="11"/>
      <c r="F254" s="12"/>
      <c r="G254" s="11"/>
      <c r="H254" s="11"/>
      <c r="I254" s="13" t="str">
        <f aca="false">IF(OR(B254="",COUNT(B240:B253)&lt;14),"",B254-AVERAGE(B240:B253))</f>
        <v/>
      </c>
      <c r="J254" s="14"/>
    </row>
    <row r="255" customFormat="false" ht="15" hidden="false" customHeight="false" outlineLevel="0" collapsed="false">
      <c r="A255" s="10"/>
      <c r="B255" s="11"/>
      <c r="C255" s="11"/>
      <c r="D255" s="11"/>
      <c r="E255" s="11"/>
      <c r="F255" s="12"/>
      <c r="G255" s="11"/>
      <c r="H255" s="11"/>
      <c r="I255" s="13" t="str">
        <f aca="false">IF(OR(B255="",COUNT(B241:B254)&lt;14),"",B255-AVERAGE(B241:B254))</f>
        <v/>
      </c>
      <c r="J255" s="14"/>
    </row>
    <row r="256" customFormat="false" ht="15" hidden="false" customHeight="false" outlineLevel="0" collapsed="false">
      <c r="A256" s="10"/>
      <c r="B256" s="11"/>
      <c r="C256" s="11"/>
      <c r="D256" s="11"/>
      <c r="E256" s="11"/>
      <c r="F256" s="12"/>
      <c r="G256" s="11"/>
      <c r="H256" s="11"/>
      <c r="I256" s="13" t="str">
        <f aca="false">IF(OR(B256="",COUNT(B242:B255)&lt;14),"",B256-AVERAGE(B242:B255))</f>
        <v/>
      </c>
      <c r="J256" s="14"/>
    </row>
    <row r="257" customFormat="false" ht="15" hidden="false" customHeight="false" outlineLevel="0" collapsed="false">
      <c r="A257" s="10"/>
      <c r="B257" s="11"/>
      <c r="C257" s="11"/>
      <c r="D257" s="11"/>
      <c r="E257" s="11"/>
      <c r="F257" s="12"/>
      <c r="G257" s="11"/>
      <c r="H257" s="11"/>
      <c r="I257" s="13" t="str">
        <f aca="false">IF(OR(B257="",COUNT(B243:B256)&lt;14),"",B257-AVERAGE(B243:B256))</f>
        <v/>
      </c>
      <c r="J257" s="14"/>
    </row>
    <row r="258" customFormat="false" ht="15" hidden="false" customHeight="false" outlineLevel="0" collapsed="false">
      <c r="A258" s="10"/>
      <c r="B258" s="11"/>
      <c r="C258" s="11"/>
      <c r="D258" s="11"/>
      <c r="E258" s="11"/>
      <c r="F258" s="12"/>
      <c r="G258" s="11"/>
      <c r="H258" s="11"/>
      <c r="I258" s="13" t="str">
        <f aca="false">IF(OR(B258="",COUNT(B244:B257)&lt;14),"",B258-AVERAGE(B244:B257))</f>
        <v/>
      </c>
      <c r="J258" s="14"/>
    </row>
    <row r="259" customFormat="false" ht="15" hidden="false" customHeight="false" outlineLevel="0" collapsed="false">
      <c r="A259" s="10"/>
      <c r="B259" s="11"/>
      <c r="C259" s="11"/>
      <c r="D259" s="11"/>
      <c r="E259" s="11"/>
      <c r="F259" s="12"/>
      <c r="G259" s="11"/>
      <c r="H259" s="11"/>
      <c r="I259" s="13" t="str">
        <f aca="false">IF(OR(B259="",COUNT(B245:B258)&lt;14),"",B259-AVERAGE(B245:B258))</f>
        <v/>
      </c>
      <c r="J259" s="14"/>
    </row>
    <row r="260" customFormat="false" ht="15" hidden="false" customHeight="false" outlineLevel="0" collapsed="false">
      <c r="A260" s="10"/>
      <c r="B260" s="11"/>
      <c r="C260" s="11"/>
      <c r="D260" s="11"/>
      <c r="E260" s="11"/>
      <c r="F260" s="12"/>
      <c r="G260" s="11"/>
      <c r="H260" s="11"/>
      <c r="I260" s="13" t="str">
        <f aca="false">IF(OR(B260="",COUNT(B246:B259)&lt;14),"",B260-AVERAGE(B246:B259))</f>
        <v/>
      </c>
      <c r="J260" s="14"/>
    </row>
    <row r="261" customFormat="false" ht="15" hidden="false" customHeight="false" outlineLevel="0" collapsed="false">
      <c r="A261" s="10"/>
      <c r="B261" s="11"/>
      <c r="C261" s="11"/>
      <c r="D261" s="11"/>
      <c r="E261" s="11"/>
      <c r="F261" s="12"/>
      <c r="G261" s="11"/>
      <c r="H261" s="11"/>
      <c r="I261" s="13" t="str">
        <f aca="false">IF(OR(B261="",COUNT(B247:B260)&lt;14),"",B261-AVERAGE(B247:B260))</f>
        <v/>
      </c>
      <c r="J261" s="14"/>
    </row>
    <row r="262" customFormat="false" ht="15" hidden="false" customHeight="false" outlineLevel="0" collapsed="false">
      <c r="A262" s="10"/>
      <c r="B262" s="11"/>
      <c r="C262" s="11"/>
      <c r="D262" s="11"/>
      <c r="E262" s="11"/>
      <c r="F262" s="12"/>
      <c r="G262" s="11"/>
      <c r="H262" s="11"/>
      <c r="I262" s="13" t="str">
        <f aca="false">IF(OR(B262="",COUNT(B248:B261)&lt;14),"",B262-AVERAGE(B248:B261))</f>
        <v/>
      </c>
      <c r="J262" s="14"/>
    </row>
    <row r="263" customFormat="false" ht="15" hidden="false" customHeight="false" outlineLevel="0" collapsed="false">
      <c r="A263" s="10"/>
      <c r="B263" s="11"/>
      <c r="C263" s="11"/>
      <c r="D263" s="11"/>
      <c r="E263" s="11"/>
      <c r="F263" s="12"/>
      <c r="G263" s="11"/>
      <c r="H263" s="11"/>
      <c r="I263" s="13" t="str">
        <f aca="false">IF(OR(B263="",COUNT(B249:B262)&lt;14),"",B263-AVERAGE(B249:B262))</f>
        <v/>
      </c>
      <c r="J263" s="14"/>
    </row>
    <row r="264" customFormat="false" ht="15" hidden="false" customHeight="false" outlineLevel="0" collapsed="false">
      <c r="A264" s="10"/>
      <c r="B264" s="11"/>
      <c r="C264" s="11"/>
      <c r="D264" s="11"/>
      <c r="E264" s="11"/>
      <c r="F264" s="12"/>
      <c r="G264" s="11"/>
      <c r="H264" s="11"/>
      <c r="I264" s="13" t="str">
        <f aca="false">IF(OR(B264="",COUNT(B250:B263)&lt;14),"",B264-AVERAGE(B250:B263))</f>
        <v/>
      </c>
      <c r="J264" s="14"/>
    </row>
    <row r="265" customFormat="false" ht="15" hidden="false" customHeight="false" outlineLevel="0" collapsed="false">
      <c r="A265" s="10"/>
      <c r="B265" s="11"/>
      <c r="C265" s="11"/>
      <c r="D265" s="11"/>
      <c r="E265" s="11"/>
      <c r="F265" s="12"/>
      <c r="G265" s="11"/>
      <c r="H265" s="11"/>
      <c r="I265" s="13" t="str">
        <f aca="false">IF(OR(B265="",COUNT(B251:B264)&lt;14),"",B265-AVERAGE(B251:B264))</f>
        <v/>
      </c>
      <c r="J265" s="14"/>
    </row>
    <row r="266" customFormat="false" ht="15" hidden="false" customHeight="false" outlineLevel="0" collapsed="false">
      <c r="A266" s="10"/>
      <c r="B266" s="11"/>
      <c r="C266" s="11"/>
      <c r="D266" s="11"/>
      <c r="E266" s="11"/>
      <c r="F266" s="12"/>
      <c r="G266" s="11"/>
      <c r="H266" s="11"/>
      <c r="I266" s="13" t="str">
        <f aca="false">IF(OR(B266="",COUNT(B252:B265)&lt;14),"",B266-AVERAGE(B252:B265))</f>
        <v/>
      </c>
      <c r="J266" s="14"/>
    </row>
    <row r="267" customFormat="false" ht="15" hidden="false" customHeight="false" outlineLevel="0" collapsed="false">
      <c r="A267" s="10"/>
      <c r="B267" s="11"/>
      <c r="C267" s="11"/>
      <c r="D267" s="11"/>
      <c r="E267" s="11"/>
      <c r="F267" s="12"/>
      <c r="G267" s="11"/>
      <c r="H267" s="11"/>
      <c r="I267" s="13" t="str">
        <f aca="false">IF(OR(B267="",COUNT(B253:B266)&lt;14),"",B267-AVERAGE(B253:B266))</f>
        <v/>
      </c>
      <c r="J267" s="14"/>
    </row>
    <row r="268" customFormat="false" ht="15" hidden="false" customHeight="false" outlineLevel="0" collapsed="false">
      <c r="A268" s="10"/>
      <c r="B268" s="11"/>
      <c r="C268" s="11"/>
      <c r="D268" s="11"/>
      <c r="E268" s="11"/>
      <c r="F268" s="12"/>
      <c r="G268" s="11"/>
      <c r="H268" s="11"/>
      <c r="I268" s="13" t="str">
        <f aca="false">IF(OR(B268="",COUNT(B254:B267)&lt;14),"",B268-AVERAGE(B254:B267))</f>
        <v/>
      </c>
      <c r="J268" s="14"/>
    </row>
    <row r="269" customFormat="false" ht="15" hidden="false" customHeight="false" outlineLevel="0" collapsed="false">
      <c r="A269" s="10"/>
      <c r="B269" s="11"/>
      <c r="C269" s="11"/>
      <c r="D269" s="11"/>
      <c r="E269" s="11"/>
      <c r="F269" s="12"/>
      <c r="G269" s="11"/>
      <c r="H269" s="11"/>
      <c r="I269" s="13" t="str">
        <f aca="false">IF(OR(B269="",COUNT(B255:B268)&lt;14),"",B269-AVERAGE(B255:B268))</f>
        <v/>
      </c>
      <c r="J269" s="14"/>
    </row>
    <row r="270" customFormat="false" ht="15" hidden="false" customHeight="false" outlineLevel="0" collapsed="false">
      <c r="A270" s="10"/>
      <c r="B270" s="11"/>
      <c r="C270" s="11"/>
      <c r="D270" s="11"/>
      <c r="E270" s="11"/>
      <c r="F270" s="12"/>
      <c r="G270" s="11"/>
      <c r="H270" s="11"/>
      <c r="I270" s="13" t="str">
        <f aca="false">IF(OR(B270="",COUNT(B256:B269)&lt;14),"",B270-AVERAGE(B256:B269))</f>
        <v/>
      </c>
      <c r="J270" s="14"/>
    </row>
    <row r="271" customFormat="false" ht="15" hidden="false" customHeight="false" outlineLevel="0" collapsed="false">
      <c r="A271" s="10"/>
      <c r="B271" s="11"/>
      <c r="C271" s="11"/>
      <c r="D271" s="11"/>
      <c r="E271" s="11"/>
      <c r="F271" s="12"/>
      <c r="G271" s="11"/>
      <c r="H271" s="11"/>
      <c r="I271" s="13" t="str">
        <f aca="false">IF(OR(B271="",COUNT(B257:B270)&lt;14),"",B271-AVERAGE(B257:B270))</f>
        <v/>
      </c>
      <c r="J271" s="14"/>
    </row>
    <row r="272" customFormat="false" ht="15" hidden="false" customHeight="false" outlineLevel="0" collapsed="false">
      <c r="A272" s="10"/>
      <c r="B272" s="11"/>
      <c r="C272" s="11"/>
      <c r="D272" s="11"/>
      <c r="E272" s="11"/>
      <c r="F272" s="12"/>
      <c r="G272" s="11"/>
      <c r="H272" s="11"/>
      <c r="I272" s="13" t="str">
        <f aca="false">IF(OR(B272="",COUNT(B258:B271)&lt;14),"",B272-AVERAGE(B258:B271))</f>
        <v/>
      </c>
      <c r="J272" s="14"/>
    </row>
    <row r="273" customFormat="false" ht="15" hidden="false" customHeight="false" outlineLevel="0" collapsed="false">
      <c r="A273" s="10"/>
      <c r="B273" s="11"/>
      <c r="C273" s="11"/>
      <c r="D273" s="11"/>
      <c r="E273" s="11"/>
      <c r="F273" s="12"/>
      <c r="G273" s="11"/>
      <c r="H273" s="11"/>
      <c r="I273" s="13" t="str">
        <f aca="false">IF(OR(B273="",COUNT(B259:B272)&lt;14),"",B273-AVERAGE(B259:B272))</f>
        <v/>
      </c>
      <c r="J273" s="14"/>
    </row>
    <row r="274" customFormat="false" ht="15" hidden="false" customHeight="false" outlineLevel="0" collapsed="false">
      <c r="A274" s="10"/>
      <c r="B274" s="11"/>
      <c r="C274" s="11"/>
      <c r="D274" s="11"/>
      <c r="E274" s="11"/>
      <c r="F274" s="12"/>
      <c r="G274" s="11"/>
      <c r="H274" s="11"/>
      <c r="I274" s="13" t="str">
        <f aca="false">IF(OR(B274="",COUNT(B260:B273)&lt;14),"",B274-AVERAGE(B260:B273))</f>
        <v/>
      </c>
      <c r="J274" s="14"/>
    </row>
    <row r="275" customFormat="false" ht="15" hidden="false" customHeight="false" outlineLevel="0" collapsed="false">
      <c r="A275" s="10"/>
      <c r="B275" s="11"/>
      <c r="C275" s="11"/>
      <c r="D275" s="11"/>
      <c r="E275" s="11"/>
      <c r="F275" s="12"/>
      <c r="G275" s="11"/>
      <c r="H275" s="11"/>
      <c r="I275" s="13" t="str">
        <f aca="false">IF(OR(B275="",COUNT(B261:B274)&lt;14),"",B275-AVERAGE(B261:B274))</f>
        <v/>
      </c>
      <c r="J275" s="14"/>
    </row>
    <row r="276" customFormat="false" ht="15" hidden="false" customHeight="false" outlineLevel="0" collapsed="false">
      <c r="A276" s="10"/>
      <c r="B276" s="11"/>
      <c r="C276" s="11"/>
      <c r="D276" s="11"/>
      <c r="E276" s="11"/>
      <c r="F276" s="12"/>
      <c r="G276" s="11"/>
      <c r="H276" s="11"/>
      <c r="I276" s="13" t="str">
        <f aca="false">IF(OR(B276="",COUNT(B262:B275)&lt;14),"",B276-AVERAGE(B262:B275))</f>
        <v/>
      </c>
      <c r="J276" s="14"/>
    </row>
    <row r="277" customFormat="false" ht="15" hidden="false" customHeight="false" outlineLevel="0" collapsed="false">
      <c r="A277" s="10"/>
      <c r="B277" s="11"/>
      <c r="C277" s="11"/>
      <c r="D277" s="11"/>
      <c r="E277" s="11"/>
      <c r="F277" s="12"/>
      <c r="G277" s="11"/>
      <c r="H277" s="11"/>
      <c r="I277" s="13" t="str">
        <f aca="false">IF(OR(B277="",COUNT(B263:B276)&lt;14),"",B277-AVERAGE(B263:B276))</f>
        <v/>
      </c>
      <c r="J277" s="14"/>
    </row>
    <row r="278" customFormat="false" ht="15" hidden="false" customHeight="false" outlineLevel="0" collapsed="false">
      <c r="A278" s="10"/>
      <c r="B278" s="11"/>
      <c r="C278" s="11"/>
      <c r="D278" s="11"/>
      <c r="E278" s="11"/>
      <c r="F278" s="12"/>
      <c r="G278" s="11"/>
      <c r="H278" s="11"/>
      <c r="I278" s="13" t="str">
        <f aca="false">IF(OR(B278="",COUNT(B264:B277)&lt;14),"",B278-AVERAGE(B264:B277))</f>
        <v/>
      </c>
      <c r="J278" s="14"/>
    </row>
    <row r="279" customFormat="false" ht="15" hidden="false" customHeight="false" outlineLevel="0" collapsed="false">
      <c r="A279" s="10"/>
      <c r="B279" s="11"/>
      <c r="C279" s="11"/>
      <c r="D279" s="11"/>
      <c r="E279" s="11"/>
      <c r="F279" s="12"/>
      <c r="G279" s="11"/>
      <c r="H279" s="11"/>
      <c r="I279" s="13" t="str">
        <f aca="false">IF(OR(B279="",COUNT(B265:B278)&lt;14),"",B279-AVERAGE(B265:B278))</f>
        <v/>
      </c>
      <c r="J279" s="14"/>
    </row>
    <row r="280" customFormat="false" ht="15" hidden="false" customHeight="false" outlineLevel="0" collapsed="false">
      <c r="A280" s="10"/>
      <c r="B280" s="11"/>
      <c r="C280" s="11"/>
      <c r="D280" s="11"/>
      <c r="E280" s="11"/>
      <c r="F280" s="12"/>
      <c r="G280" s="11"/>
      <c r="H280" s="11"/>
      <c r="I280" s="13" t="str">
        <f aca="false">IF(OR(B280="",COUNT(B266:B279)&lt;14),"",B280-AVERAGE(B266:B279))</f>
        <v/>
      </c>
      <c r="J280" s="14"/>
    </row>
    <row r="281" customFormat="false" ht="15" hidden="false" customHeight="false" outlineLevel="0" collapsed="false">
      <c r="A281" s="10"/>
      <c r="B281" s="11"/>
      <c r="C281" s="11"/>
      <c r="D281" s="11"/>
      <c r="E281" s="11"/>
      <c r="F281" s="12"/>
      <c r="G281" s="11"/>
      <c r="H281" s="11"/>
      <c r="I281" s="13" t="str">
        <f aca="false">IF(OR(B281="",COUNT(B267:B280)&lt;14),"",B281-AVERAGE(B267:B280))</f>
        <v/>
      </c>
      <c r="J281" s="14"/>
    </row>
    <row r="282" customFormat="false" ht="15" hidden="false" customHeight="false" outlineLevel="0" collapsed="false">
      <c r="A282" s="10"/>
      <c r="B282" s="11"/>
      <c r="C282" s="11"/>
      <c r="D282" s="11"/>
      <c r="E282" s="11"/>
      <c r="F282" s="12"/>
      <c r="G282" s="11"/>
      <c r="H282" s="11"/>
      <c r="I282" s="13" t="str">
        <f aca="false">IF(OR(B282="",COUNT(B268:B281)&lt;14),"",B282-AVERAGE(B268:B281))</f>
        <v/>
      </c>
      <c r="J282" s="14"/>
    </row>
    <row r="283" customFormat="false" ht="15" hidden="false" customHeight="false" outlineLevel="0" collapsed="false">
      <c r="A283" s="10"/>
      <c r="B283" s="11"/>
      <c r="C283" s="11"/>
      <c r="D283" s="11"/>
      <c r="E283" s="11"/>
      <c r="F283" s="12"/>
      <c r="G283" s="11"/>
      <c r="H283" s="11"/>
      <c r="I283" s="13" t="str">
        <f aca="false">IF(OR(B283="",COUNT(B269:B282)&lt;14),"",B283-AVERAGE(B269:B282))</f>
        <v/>
      </c>
      <c r="J283" s="14"/>
    </row>
    <row r="284" customFormat="false" ht="15" hidden="false" customHeight="false" outlineLevel="0" collapsed="false">
      <c r="A284" s="10"/>
      <c r="B284" s="11"/>
      <c r="C284" s="11"/>
      <c r="D284" s="11"/>
      <c r="E284" s="11"/>
      <c r="F284" s="12"/>
      <c r="G284" s="11"/>
      <c r="H284" s="11"/>
      <c r="I284" s="13" t="str">
        <f aca="false">IF(OR(B284="",COUNT(B270:B283)&lt;14),"",B284-AVERAGE(B270:B283))</f>
        <v/>
      </c>
      <c r="J284" s="14"/>
    </row>
    <row r="285" customFormat="false" ht="15" hidden="false" customHeight="false" outlineLevel="0" collapsed="false">
      <c r="A285" s="10"/>
      <c r="B285" s="11"/>
      <c r="C285" s="11"/>
      <c r="D285" s="11"/>
      <c r="E285" s="11"/>
      <c r="F285" s="12"/>
      <c r="G285" s="11"/>
      <c r="H285" s="11"/>
      <c r="I285" s="13" t="str">
        <f aca="false">IF(OR(B285="",COUNT(B271:B284)&lt;14),"",B285-AVERAGE(B271:B284))</f>
        <v/>
      </c>
      <c r="J285" s="14"/>
    </row>
    <row r="286" customFormat="false" ht="15" hidden="false" customHeight="false" outlineLevel="0" collapsed="false">
      <c r="A286" s="10"/>
      <c r="B286" s="11"/>
      <c r="C286" s="11"/>
      <c r="D286" s="11"/>
      <c r="E286" s="11"/>
      <c r="F286" s="12"/>
      <c r="G286" s="11"/>
      <c r="H286" s="11"/>
      <c r="I286" s="13" t="str">
        <f aca="false">IF(OR(B286="",COUNT(B272:B285)&lt;14),"",B286-AVERAGE(B272:B285))</f>
        <v/>
      </c>
      <c r="J286" s="14"/>
    </row>
    <row r="287" customFormat="false" ht="15" hidden="false" customHeight="false" outlineLevel="0" collapsed="false">
      <c r="A287" s="10"/>
      <c r="B287" s="11"/>
      <c r="C287" s="11"/>
      <c r="D287" s="11"/>
      <c r="E287" s="11"/>
      <c r="F287" s="12"/>
      <c r="G287" s="11"/>
      <c r="H287" s="11"/>
      <c r="I287" s="13" t="str">
        <f aca="false">IF(OR(B287="",COUNT(B273:B286)&lt;14),"",B287-AVERAGE(B273:B286))</f>
        <v/>
      </c>
      <c r="J287" s="14"/>
    </row>
    <row r="288" customFormat="false" ht="15" hidden="false" customHeight="false" outlineLevel="0" collapsed="false">
      <c r="A288" s="10"/>
      <c r="B288" s="11"/>
      <c r="C288" s="11"/>
      <c r="D288" s="11"/>
      <c r="E288" s="11"/>
      <c r="F288" s="12"/>
      <c r="G288" s="11"/>
      <c r="H288" s="11"/>
      <c r="I288" s="13" t="str">
        <f aca="false">IF(OR(B288="",COUNT(B274:B287)&lt;14),"",B288-AVERAGE(B274:B287))</f>
        <v/>
      </c>
      <c r="J288" s="14"/>
    </row>
    <row r="289" customFormat="false" ht="15" hidden="false" customHeight="false" outlineLevel="0" collapsed="false">
      <c r="A289" s="10"/>
      <c r="B289" s="11"/>
      <c r="C289" s="11"/>
      <c r="D289" s="11"/>
      <c r="E289" s="11"/>
      <c r="F289" s="12"/>
      <c r="G289" s="11"/>
      <c r="H289" s="11"/>
      <c r="I289" s="13" t="str">
        <f aca="false">IF(OR(B289="",COUNT(B275:B288)&lt;14),"",B289-AVERAGE(B275:B288))</f>
        <v/>
      </c>
      <c r="J289" s="14"/>
    </row>
    <row r="290" customFormat="false" ht="15" hidden="false" customHeight="false" outlineLevel="0" collapsed="false">
      <c r="A290" s="10"/>
      <c r="B290" s="11"/>
      <c r="C290" s="11"/>
      <c r="D290" s="11"/>
      <c r="E290" s="11"/>
      <c r="F290" s="12"/>
      <c r="G290" s="11"/>
      <c r="H290" s="11"/>
      <c r="I290" s="13" t="str">
        <f aca="false">IF(OR(B290="",COUNT(B276:B289)&lt;14),"",B290-AVERAGE(B276:B289))</f>
        <v/>
      </c>
      <c r="J290" s="14"/>
    </row>
    <row r="291" customFormat="false" ht="15" hidden="false" customHeight="false" outlineLevel="0" collapsed="false">
      <c r="A291" s="10"/>
      <c r="B291" s="11"/>
      <c r="C291" s="11"/>
      <c r="D291" s="11"/>
      <c r="E291" s="11"/>
      <c r="F291" s="12"/>
      <c r="G291" s="11"/>
      <c r="H291" s="11"/>
      <c r="I291" s="13" t="str">
        <f aca="false">IF(OR(B291="",COUNT(B277:B290)&lt;14),"",B291-AVERAGE(B277:B290))</f>
        <v/>
      </c>
      <c r="J291" s="14"/>
    </row>
    <row r="292" customFormat="false" ht="15" hidden="false" customHeight="false" outlineLevel="0" collapsed="false">
      <c r="A292" s="10"/>
      <c r="B292" s="11"/>
      <c r="C292" s="11"/>
      <c r="D292" s="11"/>
      <c r="E292" s="11"/>
      <c r="F292" s="12"/>
      <c r="G292" s="11"/>
      <c r="H292" s="11"/>
      <c r="I292" s="13" t="str">
        <f aca="false">IF(OR(B292="",COUNT(B278:B291)&lt;14),"",B292-AVERAGE(B278:B291))</f>
        <v/>
      </c>
      <c r="J292" s="14"/>
    </row>
    <row r="293" customFormat="false" ht="15" hidden="false" customHeight="false" outlineLevel="0" collapsed="false">
      <c r="A293" s="10"/>
      <c r="B293" s="11"/>
      <c r="C293" s="11"/>
      <c r="D293" s="11"/>
      <c r="E293" s="11"/>
      <c r="F293" s="12"/>
      <c r="G293" s="11"/>
      <c r="H293" s="11"/>
      <c r="I293" s="13" t="str">
        <f aca="false">IF(OR(B293="",COUNT(B279:B292)&lt;14),"",B293-AVERAGE(B279:B292))</f>
        <v/>
      </c>
      <c r="J293" s="14"/>
    </row>
    <row r="294" customFormat="false" ht="15" hidden="false" customHeight="false" outlineLevel="0" collapsed="false">
      <c r="A294" s="10"/>
      <c r="B294" s="11"/>
      <c r="C294" s="11"/>
      <c r="D294" s="11"/>
      <c r="E294" s="11"/>
      <c r="F294" s="12"/>
      <c r="G294" s="11"/>
      <c r="H294" s="11"/>
      <c r="I294" s="13" t="str">
        <f aca="false">IF(OR(B294="",COUNT(B280:B293)&lt;14),"",B294-AVERAGE(B280:B293))</f>
        <v/>
      </c>
      <c r="J294" s="14"/>
    </row>
    <row r="295" customFormat="false" ht="15" hidden="false" customHeight="false" outlineLevel="0" collapsed="false">
      <c r="A295" s="10"/>
      <c r="B295" s="11"/>
      <c r="C295" s="11"/>
      <c r="D295" s="11"/>
      <c r="E295" s="11"/>
      <c r="F295" s="12"/>
      <c r="G295" s="11"/>
      <c r="H295" s="11"/>
      <c r="I295" s="13" t="str">
        <f aca="false">IF(OR(B295="",COUNT(B281:B294)&lt;14),"",B295-AVERAGE(B281:B294))</f>
        <v/>
      </c>
      <c r="J295" s="14"/>
    </row>
    <row r="296" customFormat="false" ht="15" hidden="false" customHeight="false" outlineLevel="0" collapsed="false">
      <c r="A296" s="10"/>
      <c r="B296" s="11"/>
      <c r="C296" s="11"/>
      <c r="D296" s="11"/>
      <c r="E296" s="11"/>
      <c r="F296" s="12"/>
      <c r="G296" s="11"/>
      <c r="H296" s="11"/>
      <c r="I296" s="13" t="str">
        <f aca="false">IF(OR(B296="",COUNT(B282:B295)&lt;14),"",B296-AVERAGE(B282:B295))</f>
        <v/>
      </c>
      <c r="J296" s="14"/>
    </row>
    <row r="297" customFormat="false" ht="15" hidden="false" customHeight="false" outlineLevel="0" collapsed="false">
      <c r="A297" s="10"/>
      <c r="B297" s="11"/>
      <c r="C297" s="11"/>
      <c r="D297" s="11"/>
      <c r="E297" s="11"/>
      <c r="F297" s="12"/>
      <c r="G297" s="11"/>
      <c r="H297" s="11"/>
      <c r="I297" s="13" t="str">
        <f aca="false">IF(OR(B297="",COUNT(B283:B296)&lt;14),"",B297-AVERAGE(B283:B296))</f>
        <v/>
      </c>
      <c r="J297" s="14"/>
    </row>
    <row r="298" customFormat="false" ht="15" hidden="false" customHeight="false" outlineLevel="0" collapsed="false">
      <c r="A298" s="10"/>
      <c r="B298" s="11"/>
      <c r="C298" s="11"/>
      <c r="D298" s="11"/>
      <c r="E298" s="11"/>
      <c r="F298" s="12"/>
      <c r="G298" s="11"/>
      <c r="H298" s="11"/>
      <c r="I298" s="13" t="str">
        <f aca="false">IF(OR(B298="",COUNT(B284:B297)&lt;14),"",B298-AVERAGE(B284:B297))</f>
        <v/>
      </c>
      <c r="J298" s="14"/>
    </row>
    <row r="299" customFormat="false" ht="15" hidden="false" customHeight="false" outlineLevel="0" collapsed="false">
      <c r="A299" s="10"/>
      <c r="B299" s="11"/>
      <c r="C299" s="11"/>
      <c r="D299" s="11"/>
      <c r="E299" s="11"/>
      <c r="F299" s="12"/>
      <c r="G299" s="11"/>
      <c r="H299" s="11"/>
      <c r="I299" s="13" t="str">
        <f aca="false">IF(OR(B299="",COUNT(B285:B298)&lt;14),"",B299-AVERAGE(B285:B298))</f>
        <v/>
      </c>
      <c r="J299" s="14"/>
    </row>
    <row r="300" customFormat="false" ht="15" hidden="false" customHeight="false" outlineLevel="0" collapsed="false">
      <c r="A300" s="10"/>
      <c r="B300" s="11"/>
      <c r="C300" s="11"/>
      <c r="D300" s="11"/>
      <c r="E300" s="11"/>
      <c r="F300" s="12"/>
      <c r="G300" s="11"/>
      <c r="H300" s="11"/>
      <c r="I300" s="13" t="str">
        <f aca="false">IF(OR(B300="",COUNT(B286:B299)&lt;14),"",B300-AVERAGE(B286:B299))</f>
        <v/>
      </c>
      <c r="J300" s="14"/>
    </row>
    <row r="301" customFormat="false" ht="15" hidden="false" customHeight="false" outlineLevel="0" collapsed="false">
      <c r="A301" s="10"/>
      <c r="B301" s="11"/>
      <c r="C301" s="11"/>
      <c r="D301" s="11"/>
      <c r="E301" s="11"/>
      <c r="F301" s="12"/>
      <c r="G301" s="11"/>
      <c r="H301" s="11"/>
      <c r="I301" s="13" t="str">
        <f aca="false">IF(OR(B301="",COUNT(B287:B300)&lt;14),"",B301-AVERAGE(B287:B300))</f>
        <v/>
      </c>
      <c r="J301" s="14"/>
    </row>
    <row r="302" customFormat="false" ht="15" hidden="false" customHeight="false" outlineLevel="0" collapsed="false">
      <c r="A302" s="10"/>
      <c r="B302" s="11"/>
      <c r="C302" s="11"/>
      <c r="D302" s="11"/>
      <c r="E302" s="11"/>
      <c r="F302" s="12"/>
      <c r="G302" s="11"/>
      <c r="H302" s="11"/>
      <c r="I302" s="13" t="str">
        <f aca="false">IF(OR(B302="",COUNT(B288:B301)&lt;14),"",B302-AVERAGE(B288:B301))</f>
        <v/>
      </c>
      <c r="J302" s="14"/>
    </row>
    <row r="303" customFormat="false" ht="15" hidden="false" customHeight="false" outlineLevel="0" collapsed="false">
      <c r="A303" s="10"/>
      <c r="B303" s="11"/>
      <c r="C303" s="11"/>
      <c r="D303" s="11"/>
      <c r="E303" s="11"/>
      <c r="F303" s="12"/>
      <c r="G303" s="11"/>
      <c r="H303" s="11"/>
      <c r="I303" s="13" t="str">
        <f aca="false">IF(OR(B303="",COUNT(B289:B302)&lt;14),"",B303-AVERAGE(B289:B302))</f>
        <v/>
      </c>
      <c r="J303" s="14"/>
    </row>
    <row r="304" customFormat="false" ht="15" hidden="false" customHeight="false" outlineLevel="0" collapsed="false">
      <c r="A304" s="10"/>
      <c r="B304" s="11"/>
      <c r="C304" s="11"/>
      <c r="D304" s="11"/>
      <c r="E304" s="11"/>
      <c r="F304" s="12"/>
      <c r="G304" s="11"/>
      <c r="H304" s="11"/>
      <c r="I304" s="13" t="str">
        <f aca="false">IF(OR(B304="",COUNT(B290:B303)&lt;14),"",B304-AVERAGE(B290:B303))</f>
        <v/>
      </c>
      <c r="J304" s="14"/>
    </row>
    <row r="305" customFormat="false" ht="15" hidden="false" customHeight="false" outlineLevel="0" collapsed="false">
      <c r="A305" s="10"/>
      <c r="B305" s="11"/>
      <c r="C305" s="11"/>
      <c r="D305" s="11"/>
      <c r="E305" s="11"/>
      <c r="F305" s="12"/>
      <c r="G305" s="11"/>
      <c r="H305" s="11"/>
      <c r="I305" s="13" t="str">
        <f aca="false">IF(OR(B305="",COUNT(B291:B304)&lt;14),"",B305-AVERAGE(B291:B304))</f>
        <v/>
      </c>
      <c r="J305" s="14"/>
    </row>
    <row r="306" customFormat="false" ht="15" hidden="false" customHeight="false" outlineLevel="0" collapsed="false">
      <c r="A306" s="10"/>
      <c r="B306" s="11"/>
      <c r="C306" s="11"/>
      <c r="D306" s="11"/>
      <c r="E306" s="11"/>
      <c r="F306" s="12"/>
      <c r="G306" s="11"/>
      <c r="H306" s="11"/>
      <c r="I306" s="13" t="str">
        <f aca="false">IF(OR(B306="",COUNT(B292:B305)&lt;14),"",B306-AVERAGE(B292:B305))</f>
        <v/>
      </c>
      <c r="J306" s="14"/>
    </row>
    <row r="307" customFormat="false" ht="15" hidden="false" customHeight="false" outlineLevel="0" collapsed="false">
      <c r="A307" s="10"/>
      <c r="B307" s="11"/>
      <c r="C307" s="11"/>
      <c r="D307" s="11"/>
      <c r="E307" s="11"/>
      <c r="F307" s="12"/>
      <c r="G307" s="11"/>
      <c r="H307" s="11"/>
      <c r="I307" s="13" t="str">
        <f aca="false">IF(OR(B307="",COUNT(B293:B306)&lt;14),"",B307-AVERAGE(B293:B306))</f>
        <v/>
      </c>
      <c r="J307" s="14"/>
    </row>
    <row r="308" customFormat="false" ht="15" hidden="false" customHeight="false" outlineLevel="0" collapsed="false">
      <c r="A308" s="10"/>
      <c r="B308" s="11"/>
      <c r="C308" s="11"/>
      <c r="D308" s="11"/>
      <c r="E308" s="11"/>
      <c r="F308" s="12"/>
      <c r="G308" s="11"/>
      <c r="H308" s="11"/>
      <c r="I308" s="13" t="str">
        <f aca="false">IF(OR(B308="",COUNT(B294:B307)&lt;14),"",B308-AVERAGE(B294:B307))</f>
        <v/>
      </c>
      <c r="J308" s="14"/>
    </row>
    <row r="309" customFormat="false" ht="15" hidden="false" customHeight="false" outlineLevel="0" collapsed="false">
      <c r="A309" s="10"/>
      <c r="B309" s="11"/>
      <c r="C309" s="11"/>
      <c r="D309" s="11"/>
      <c r="E309" s="11"/>
      <c r="F309" s="12"/>
      <c r="G309" s="11"/>
      <c r="H309" s="11"/>
      <c r="I309" s="13" t="str">
        <f aca="false">IF(OR(B309="",COUNT(B295:B308)&lt;14),"",B309-AVERAGE(B295:B308))</f>
        <v/>
      </c>
      <c r="J309" s="14"/>
    </row>
    <row r="310" customFormat="false" ht="15" hidden="false" customHeight="false" outlineLevel="0" collapsed="false">
      <c r="A310" s="10"/>
      <c r="B310" s="11"/>
      <c r="C310" s="11"/>
      <c r="D310" s="11"/>
      <c r="E310" s="11"/>
      <c r="F310" s="12"/>
      <c r="G310" s="11"/>
      <c r="H310" s="11"/>
      <c r="I310" s="13" t="str">
        <f aca="false">IF(OR(B310="",COUNT(B296:B309)&lt;14),"",B310-AVERAGE(B296:B309))</f>
        <v/>
      </c>
      <c r="J310" s="14"/>
    </row>
    <row r="311" customFormat="false" ht="15" hidden="false" customHeight="false" outlineLevel="0" collapsed="false">
      <c r="A311" s="10"/>
      <c r="B311" s="11"/>
      <c r="C311" s="11"/>
      <c r="D311" s="11"/>
      <c r="E311" s="11"/>
      <c r="F311" s="12"/>
      <c r="G311" s="11"/>
      <c r="H311" s="11"/>
      <c r="I311" s="13" t="str">
        <f aca="false">IF(OR(B311="",COUNT(B297:B310)&lt;14),"",B311-AVERAGE(B297:B310))</f>
        <v/>
      </c>
      <c r="J311" s="14"/>
    </row>
    <row r="312" customFormat="false" ht="15" hidden="false" customHeight="false" outlineLevel="0" collapsed="false">
      <c r="A312" s="10"/>
      <c r="B312" s="11"/>
      <c r="C312" s="11"/>
      <c r="D312" s="11"/>
      <c r="E312" s="11"/>
      <c r="F312" s="12"/>
      <c r="G312" s="11"/>
      <c r="H312" s="11"/>
      <c r="I312" s="13" t="str">
        <f aca="false">IF(OR(B312="",COUNT(B298:B311)&lt;14),"",B312-AVERAGE(B298:B311))</f>
        <v/>
      </c>
      <c r="J312" s="14"/>
    </row>
    <row r="313" customFormat="false" ht="15" hidden="false" customHeight="false" outlineLevel="0" collapsed="false">
      <c r="A313" s="10"/>
      <c r="B313" s="11"/>
      <c r="C313" s="11"/>
      <c r="D313" s="11"/>
      <c r="E313" s="11"/>
      <c r="F313" s="12"/>
      <c r="G313" s="11"/>
      <c r="H313" s="11"/>
      <c r="I313" s="13" t="str">
        <f aca="false">IF(OR(B313="",COUNT(B299:B312)&lt;14),"",B313-AVERAGE(B299:B312))</f>
        <v/>
      </c>
      <c r="J313" s="14"/>
    </row>
    <row r="314" customFormat="false" ht="15" hidden="false" customHeight="false" outlineLevel="0" collapsed="false">
      <c r="A314" s="10"/>
      <c r="B314" s="11"/>
      <c r="C314" s="11"/>
      <c r="D314" s="11"/>
      <c r="E314" s="11"/>
      <c r="F314" s="12"/>
      <c r="G314" s="11"/>
      <c r="H314" s="11"/>
      <c r="I314" s="13" t="str">
        <f aca="false">IF(OR(B314="",COUNT(B300:B313)&lt;14),"",B314-AVERAGE(B300:B313))</f>
        <v/>
      </c>
      <c r="J314" s="14"/>
    </row>
    <row r="315" customFormat="false" ht="15" hidden="false" customHeight="false" outlineLevel="0" collapsed="false">
      <c r="A315" s="10"/>
      <c r="B315" s="11"/>
      <c r="C315" s="11"/>
      <c r="D315" s="11"/>
      <c r="E315" s="11"/>
      <c r="F315" s="12"/>
      <c r="G315" s="11"/>
      <c r="H315" s="11"/>
      <c r="I315" s="13" t="str">
        <f aca="false">IF(OR(B315="",COUNT(B301:B314)&lt;14),"",B315-AVERAGE(B301:B314))</f>
        <v/>
      </c>
      <c r="J315" s="14"/>
    </row>
    <row r="316" customFormat="false" ht="15" hidden="false" customHeight="false" outlineLevel="0" collapsed="false">
      <c r="A316" s="10"/>
      <c r="B316" s="11"/>
      <c r="C316" s="11"/>
      <c r="D316" s="11"/>
      <c r="E316" s="11"/>
      <c r="F316" s="12"/>
      <c r="G316" s="11"/>
      <c r="H316" s="11"/>
      <c r="I316" s="13" t="str">
        <f aca="false">IF(OR(B316="",COUNT(B302:B315)&lt;14),"",B316-AVERAGE(B302:B315))</f>
        <v/>
      </c>
      <c r="J316" s="14"/>
    </row>
    <row r="317" customFormat="false" ht="15" hidden="false" customHeight="false" outlineLevel="0" collapsed="false">
      <c r="A317" s="10"/>
      <c r="B317" s="11"/>
      <c r="C317" s="11"/>
      <c r="D317" s="11"/>
      <c r="E317" s="11"/>
      <c r="F317" s="12"/>
      <c r="G317" s="11"/>
      <c r="H317" s="11"/>
      <c r="I317" s="13" t="str">
        <f aca="false">IF(OR(B317="",COUNT(B303:B316)&lt;14),"",B317-AVERAGE(B303:B316))</f>
        <v/>
      </c>
      <c r="J317" s="14"/>
    </row>
    <row r="318" customFormat="false" ht="15" hidden="false" customHeight="false" outlineLevel="0" collapsed="false">
      <c r="A318" s="10"/>
      <c r="B318" s="11"/>
      <c r="C318" s="11"/>
      <c r="D318" s="11"/>
      <c r="E318" s="11"/>
      <c r="F318" s="12"/>
      <c r="G318" s="11"/>
      <c r="H318" s="11"/>
      <c r="I318" s="13" t="str">
        <f aca="false">IF(OR(B318="",COUNT(B304:B317)&lt;14),"",B318-AVERAGE(B304:B317))</f>
        <v/>
      </c>
      <c r="J318" s="14"/>
    </row>
    <row r="319" customFormat="false" ht="15" hidden="false" customHeight="false" outlineLevel="0" collapsed="false">
      <c r="A319" s="10"/>
      <c r="B319" s="11"/>
      <c r="C319" s="11"/>
      <c r="D319" s="11"/>
      <c r="E319" s="11"/>
      <c r="F319" s="12"/>
      <c r="G319" s="11"/>
      <c r="H319" s="11"/>
      <c r="I319" s="13" t="str">
        <f aca="false">IF(OR(B319="",COUNT(B305:B318)&lt;14),"",B319-AVERAGE(B305:B318))</f>
        <v/>
      </c>
      <c r="J319" s="14"/>
    </row>
    <row r="320" customFormat="false" ht="15" hidden="false" customHeight="false" outlineLevel="0" collapsed="false">
      <c r="A320" s="10"/>
      <c r="B320" s="11"/>
      <c r="C320" s="11"/>
      <c r="D320" s="11"/>
      <c r="E320" s="11"/>
      <c r="F320" s="12"/>
      <c r="G320" s="11"/>
      <c r="H320" s="11"/>
      <c r="I320" s="13" t="str">
        <f aca="false">IF(OR(B320="",COUNT(B306:B319)&lt;14),"",B320-AVERAGE(B306:B319))</f>
        <v/>
      </c>
      <c r="J320" s="14"/>
    </row>
    <row r="321" customFormat="false" ht="15" hidden="false" customHeight="false" outlineLevel="0" collapsed="false">
      <c r="A321" s="10"/>
      <c r="B321" s="11"/>
      <c r="C321" s="11"/>
      <c r="D321" s="11"/>
      <c r="E321" s="11"/>
      <c r="F321" s="12"/>
      <c r="G321" s="11"/>
      <c r="H321" s="11"/>
      <c r="I321" s="13" t="str">
        <f aca="false">IF(OR(B321="",COUNT(B307:B320)&lt;14),"",B321-AVERAGE(B307:B320))</f>
        <v/>
      </c>
      <c r="J321" s="14"/>
    </row>
    <row r="322" customFormat="false" ht="15" hidden="false" customHeight="false" outlineLevel="0" collapsed="false">
      <c r="A322" s="10"/>
      <c r="B322" s="11"/>
      <c r="C322" s="11"/>
      <c r="D322" s="11"/>
      <c r="E322" s="11"/>
      <c r="F322" s="12"/>
      <c r="G322" s="11"/>
      <c r="H322" s="11"/>
      <c r="I322" s="13" t="str">
        <f aca="false">IF(OR(B322="",COUNT(B308:B321)&lt;14),"",B322-AVERAGE(B308:B321))</f>
        <v/>
      </c>
      <c r="J322" s="14"/>
    </row>
    <row r="323" customFormat="false" ht="15" hidden="false" customHeight="false" outlineLevel="0" collapsed="false">
      <c r="A323" s="10"/>
      <c r="B323" s="11"/>
      <c r="C323" s="11"/>
      <c r="D323" s="11"/>
      <c r="E323" s="11"/>
      <c r="F323" s="12"/>
      <c r="G323" s="11"/>
      <c r="H323" s="11"/>
      <c r="I323" s="13" t="str">
        <f aca="false">IF(OR(B323="",COUNT(B309:B322)&lt;14),"",B323-AVERAGE(B309:B322))</f>
        <v/>
      </c>
      <c r="J323" s="14"/>
    </row>
    <row r="324" customFormat="false" ht="15" hidden="false" customHeight="false" outlineLevel="0" collapsed="false">
      <c r="A324" s="10"/>
      <c r="B324" s="11"/>
      <c r="C324" s="11"/>
      <c r="D324" s="11"/>
      <c r="E324" s="11"/>
      <c r="F324" s="12"/>
      <c r="G324" s="11"/>
      <c r="H324" s="11"/>
      <c r="I324" s="13" t="str">
        <f aca="false">IF(OR(B324="",COUNT(B310:B323)&lt;14),"",B324-AVERAGE(B310:B323))</f>
        <v/>
      </c>
      <c r="J324" s="14"/>
    </row>
    <row r="325" customFormat="false" ht="15" hidden="false" customHeight="false" outlineLevel="0" collapsed="false">
      <c r="A325" s="10"/>
      <c r="B325" s="11"/>
      <c r="C325" s="11"/>
      <c r="D325" s="11"/>
      <c r="E325" s="11"/>
      <c r="F325" s="12"/>
      <c r="G325" s="11"/>
      <c r="H325" s="11"/>
      <c r="I325" s="13" t="str">
        <f aca="false">IF(OR(B325="",COUNT(B311:B324)&lt;14),"",B325-AVERAGE(B311:B324))</f>
        <v/>
      </c>
      <c r="J325" s="14"/>
    </row>
    <row r="326" customFormat="false" ht="15" hidden="false" customHeight="false" outlineLevel="0" collapsed="false">
      <c r="A326" s="10"/>
      <c r="B326" s="11"/>
      <c r="C326" s="11"/>
      <c r="D326" s="11"/>
      <c r="E326" s="11"/>
      <c r="F326" s="12"/>
      <c r="G326" s="11"/>
      <c r="H326" s="11"/>
      <c r="I326" s="13" t="str">
        <f aca="false">IF(OR(B326="",COUNT(B312:B325)&lt;14),"",B326-AVERAGE(B312:B325))</f>
        <v/>
      </c>
      <c r="J326" s="14"/>
    </row>
    <row r="327" customFormat="false" ht="15" hidden="false" customHeight="false" outlineLevel="0" collapsed="false">
      <c r="A327" s="10"/>
      <c r="B327" s="11"/>
      <c r="C327" s="11"/>
      <c r="D327" s="11"/>
      <c r="E327" s="11"/>
      <c r="F327" s="12"/>
      <c r="G327" s="11"/>
      <c r="H327" s="11"/>
      <c r="I327" s="13" t="str">
        <f aca="false">IF(OR(B327="",COUNT(B313:B326)&lt;14),"",B327-AVERAGE(B313:B326))</f>
        <v/>
      </c>
      <c r="J327" s="14"/>
    </row>
    <row r="328" customFormat="false" ht="15" hidden="false" customHeight="false" outlineLevel="0" collapsed="false">
      <c r="A328" s="10"/>
      <c r="B328" s="11"/>
      <c r="C328" s="11"/>
      <c r="D328" s="11"/>
      <c r="E328" s="11"/>
      <c r="F328" s="12"/>
      <c r="G328" s="11"/>
      <c r="H328" s="11"/>
      <c r="I328" s="13" t="str">
        <f aca="false">IF(OR(B328="",COUNT(B314:B327)&lt;14),"",B328-AVERAGE(B314:B327))</f>
        <v/>
      </c>
      <c r="J328" s="14"/>
    </row>
    <row r="329" customFormat="false" ht="15" hidden="false" customHeight="false" outlineLevel="0" collapsed="false">
      <c r="A329" s="10"/>
      <c r="B329" s="11"/>
      <c r="C329" s="11"/>
      <c r="D329" s="11"/>
      <c r="E329" s="11"/>
      <c r="F329" s="12"/>
      <c r="G329" s="11"/>
      <c r="H329" s="11"/>
      <c r="I329" s="13" t="str">
        <f aca="false">IF(OR(B329="",COUNT(B315:B328)&lt;14),"",B329-AVERAGE(B315:B328))</f>
        <v/>
      </c>
      <c r="J329" s="14"/>
    </row>
    <row r="330" customFormat="false" ht="15" hidden="false" customHeight="false" outlineLevel="0" collapsed="false">
      <c r="A330" s="10"/>
      <c r="B330" s="11"/>
      <c r="C330" s="11"/>
      <c r="D330" s="11"/>
      <c r="E330" s="11"/>
      <c r="F330" s="12"/>
      <c r="G330" s="11"/>
      <c r="H330" s="11"/>
      <c r="I330" s="13" t="str">
        <f aca="false">IF(OR(B330="",COUNT(B316:B329)&lt;14),"",B330-AVERAGE(B316:B329))</f>
        <v/>
      </c>
      <c r="J330" s="14"/>
    </row>
    <row r="331" customFormat="false" ht="15" hidden="false" customHeight="false" outlineLevel="0" collapsed="false">
      <c r="A331" s="10"/>
      <c r="B331" s="11"/>
      <c r="C331" s="11"/>
      <c r="D331" s="11"/>
      <c r="E331" s="11"/>
      <c r="F331" s="12"/>
      <c r="G331" s="11"/>
      <c r="H331" s="11"/>
      <c r="I331" s="13" t="str">
        <f aca="false">IF(OR(B331="",COUNT(B317:B330)&lt;14),"",B331-AVERAGE(B317:B330))</f>
        <v/>
      </c>
      <c r="J331" s="14"/>
    </row>
    <row r="332" customFormat="false" ht="15" hidden="false" customHeight="false" outlineLevel="0" collapsed="false">
      <c r="A332" s="10"/>
      <c r="B332" s="11"/>
      <c r="C332" s="11"/>
      <c r="D332" s="11"/>
      <c r="E332" s="11"/>
      <c r="F332" s="12"/>
      <c r="G332" s="11"/>
      <c r="H332" s="11"/>
      <c r="I332" s="13" t="str">
        <f aca="false">IF(OR(B332="",COUNT(B318:B331)&lt;14),"",B332-AVERAGE(B318:B331))</f>
        <v/>
      </c>
      <c r="J332" s="14"/>
    </row>
    <row r="333" customFormat="false" ht="15" hidden="false" customHeight="false" outlineLevel="0" collapsed="false">
      <c r="A333" s="10"/>
      <c r="B333" s="11"/>
      <c r="C333" s="11"/>
      <c r="D333" s="11"/>
      <c r="E333" s="11"/>
      <c r="F333" s="12"/>
      <c r="G333" s="11"/>
      <c r="H333" s="11"/>
      <c r="I333" s="13" t="str">
        <f aca="false">IF(OR(B333="",COUNT(B319:B332)&lt;14),"",B333-AVERAGE(B319:B332))</f>
        <v/>
      </c>
      <c r="J333" s="14"/>
    </row>
    <row r="334" customFormat="false" ht="15" hidden="false" customHeight="false" outlineLevel="0" collapsed="false">
      <c r="A334" s="10"/>
      <c r="B334" s="11"/>
      <c r="C334" s="11"/>
      <c r="D334" s="11"/>
      <c r="E334" s="11"/>
      <c r="F334" s="12"/>
      <c r="G334" s="11"/>
      <c r="H334" s="11"/>
      <c r="I334" s="13" t="str">
        <f aca="false">IF(OR(B334="",COUNT(B320:B333)&lt;14),"",B334-AVERAGE(B320:B333))</f>
        <v/>
      </c>
      <c r="J334" s="14"/>
    </row>
    <row r="335" customFormat="false" ht="15" hidden="false" customHeight="false" outlineLevel="0" collapsed="false">
      <c r="A335" s="10"/>
      <c r="B335" s="11"/>
      <c r="C335" s="11"/>
      <c r="D335" s="11"/>
      <c r="E335" s="11"/>
      <c r="F335" s="12"/>
      <c r="G335" s="11"/>
      <c r="H335" s="11"/>
      <c r="I335" s="13" t="str">
        <f aca="false">IF(OR(B335="",COUNT(B321:B334)&lt;14),"",B335-AVERAGE(B321:B334))</f>
        <v/>
      </c>
      <c r="J335" s="14"/>
    </row>
    <row r="336" customFormat="false" ht="15" hidden="false" customHeight="false" outlineLevel="0" collapsed="false">
      <c r="A336" s="10"/>
      <c r="B336" s="11"/>
      <c r="C336" s="11"/>
      <c r="D336" s="11"/>
      <c r="E336" s="11"/>
      <c r="F336" s="12"/>
      <c r="G336" s="11"/>
      <c r="H336" s="11"/>
      <c r="I336" s="13" t="str">
        <f aca="false">IF(OR(B336="",COUNT(B322:B335)&lt;14),"",B336-AVERAGE(B322:B335))</f>
        <v/>
      </c>
      <c r="J336" s="14"/>
    </row>
    <row r="337" customFormat="false" ht="15" hidden="false" customHeight="false" outlineLevel="0" collapsed="false">
      <c r="A337" s="10"/>
      <c r="B337" s="11"/>
      <c r="C337" s="11"/>
      <c r="D337" s="11"/>
      <c r="E337" s="11"/>
      <c r="F337" s="12"/>
      <c r="G337" s="11"/>
      <c r="H337" s="11"/>
      <c r="I337" s="13" t="str">
        <f aca="false">IF(OR(B337="",COUNT(B323:B336)&lt;14),"",B337-AVERAGE(B323:B336))</f>
        <v/>
      </c>
      <c r="J337" s="14"/>
    </row>
    <row r="338" customFormat="false" ht="15" hidden="false" customHeight="false" outlineLevel="0" collapsed="false">
      <c r="A338" s="10"/>
      <c r="B338" s="11"/>
      <c r="C338" s="11"/>
      <c r="D338" s="11"/>
      <c r="E338" s="11"/>
      <c r="F338" s="12"/>
      <c r="G338" s="11"/>
      <c r="H338" s="11"/>
      <c r="I338" s="13" t="str">
        <f aca="false">IF(OR(B338="",COUNT(B324:B337)&lt;14),"",B338-AVERAGE(B324:B337))</f>
        <v/>
      </c>
      <c r="J338" s="14"/>
    </row>
    <row r="339" customFormat="false" ht="15" hidden="false" customHeight="false" outlineLevel="0" collapsed="false">
      <c r="A339" s="10"/>
      <c r="B339" s="11"/>
      <c r="C339" s="11"/>
      <c r="D339" s="11"/>
      <c r="E339" s="11"/>
      <c r="F339" s="12"/>
      <c r="G339" s="11"/>
      <c r="H339" s="11"/>
      <c r="I339" s="13" t="str">
        <f aca="false">IF(OR(B339="",COUNT(B325:B338)&lt;14),"",B339-AVERAGE(B325:B338))</f>
        <v/>
      </c>
      <c r="J339" s="14"/>
    </row>
    <row r="340" customFormat="false" ht="15" hidden="false" customHeight="false" outlineLevel="0" collapsed="false">
      <c r="A340" s="10"/>
      <c r="B340" s="11"/>
      <c r="C340" s="11"/>
      <c r="D340" s="11"/>
      <c r="E340" s="11"/>
      <c r="F340" s="12"/>
      <c r="G340" s="11"/>
      <c r="H340" s="11"/>
      <c r="I340" s="13" t="str">
        <f aca="false">IF(OR(B340="",COUNT(B326:B339)&lt;14),"",B340-AVERAGE(B326:B339))</f>
        <v/>
      </c>
      <c r="J340" s="14"/>
    </row>
    <row r="341" customFormat="false" ht="15" hidden="false" customHeight="false" outlineLevel="0" collapsed="false">
      <c r="A341" s="10"/>
      <c r="B341" s="11"/>
      <c r="C341" s="11"/>
      <c r="D341" s="11"/>
      <c r="E341" s="11"/>
      <c r="F341" s="12"/>
      <c r="G341" s="11"/>
      <c r="H341" s="11"/>
      <c r="I341" s="13" t="str">
        <f aca="false">IF(OR(B341="",COUNT(B327:B340)&lt;14),"",B341-AVERAGE(B327:B340))</f>
        <v/>
      </c>
      <c r="J341" s="14"/>
    </row>
    <row r="342" customFormat="false" ht="15" hidden="false" customHeight="false" outlineLevel="0" collapsed="false">
      <c r="A342" s="10"/>
      <c r="B342" s="11"/>
      <c r="C342" s="11"/>
      <c r="D342" s="11"/>
      <c r="E342" s="11"/>
      <c r="F342" s="12"/>
      <c r="G342" s="11"/>
      <c r="H342" s="11"/>
      <c r="I342" s="13" t="str">
        <f aca="false">IF(OR(B342="",COUNT(B328:B341)&lt;14),"",B342-AVERAGE(B328:B341))</f>
        <v/>
      </c>
      <c r="J342" s="14"/>
    </row>
    <row r="343" customFormat="false" ht="15" hidden="false" customHeight="false" outlineLevel="0" collapsed="false">
      <c r="A343" s="10"/>
      <c r="B343" s="11"/>
      <c r="C343" s="11"/>
      <c r="D343" s="11"/>
      <c r="E343" s="11"/>
      <c r="F343" s="12"/>
      <c r="G343" s="11"/>
      <c r="H343" s="11"/>
      <c r="I343" s="13" t="str">
        <f aca="false">IF(OR(B343="",COUNT(B329:B342)&lt;14),"",B343-AVERAGE(B329:B342))</f>
        <v/>
      </c>
      <c r="J343" s="14"/>
    </row>
    <row r="344" customFormat="false" ht="15" hidden="false" customHeight="false" outlineLevel="0" collapsed="false">
      <c r="A344" s="10"/>
      <c r="B344" s="11"/>
      <c r="C344" s="11"/>
      <c r="D344" s="11"/>
      <c r="E344" s="11"/>
      <c r="F344" s="12"/>
      <c r="G344" s="11"/>
      <c r="H344" s="11"/>
      <c r="I344" s="13" t="str">
        <f aca="false">IF(OR(B344="",COUNT(B330:B343)&lt;14),"",B344-AVERAGE(B330:B343))</f>
        <v/>
      </c>
      <c r="J344" s="14"/>
    </row>
    <row r="345" customFormat="false" ht="15" hidden="false" customHeight="false" outlineLevel="0" collapsed="false">
      <c r="A345" s="10"/>
      <c r="B345" s="11"/>
      <c r="C345" s="11"/>
      <c r="D345" s="11"/>
      <c r="E345" s="11"/>
      <c r="F345" s="12"/>
      <c r="G345" s="11"/>
      <c r="H345" s="11"/>
      <c r="I345" s="13" t="str">
        <f aca="false">IF(OR(B345="",COUNT(B331:B344)&lt;14),"",B345-AVERAGE(B331:B344))</f>
        <v/>
      </c>
      <c r="J345" s="14"/>
    </row>
    <row r="346" customFormat="false" ht="15" hidden="false" customHeight="false" outlineLevel="0" collapsed="false">
      <c r="A346" s="10"/>
      <c r="B346" s="11"/>
      <c r="C346" s="11"/>
      <c r="D346" s="11"/>
      <c r="E346" s="11"/>
      <c r="F346" s="12"/>
      <c r="G346" s="11"/>
      <c r="H346" s="11"/>
      <c r="I346" s="13" t="str">
        <f aca="false">IF(OR(B346="",COUNT(B332:B345)&lt;14),"",B346-AVERAGE(B332:B345))</f>
        <v/>
      </c>
      <c r="J346" s="14"/>
    </row>
    <row r="347" customFormat="false" ht="15" hidden="false" customHeight="false" outlineLevel="0" collapsed="false">
      <c r="A347" s="10"/>
      <c r="B347" s="11"/>
      <c r="C347" s="11"/>
      <c r="D347" s="11"/>
      <c r="E347" s="11"/>
      <c r="F347" s="12"/>
      <c r="G347" s="11"/>
      <c r="H347" s="11"/>
      <c r="I347" s="13" t="str">
        <f aca="false">IF(OR(B347="",COUNT(B333:B346)&lt;14),"",B347-AVERAGE(B333:B346))</f>
        <v/>
      </c>
      <c r="J347" s="14"/>
    </row>
    <row r="348" customFormat="false" ht="15" hidden="false" customHeight="false" outlineLevel="0" collapsed="false">
      <c r="A348" s="10"/>
      <c r="B348" s="11"/>
      <c r="C348" s="11"/>
      <c r="D348" s="11"/>
      <c r="E348" s="11"/>
      <c r="F348" s="12"/>
      <c r="G348" s="11"/>
      <c r="H348" s="11"/>
      <c r="I348" s="13" t="str">
        <f aca="false">IF(OR(B348="",COUNT(B334:B347)&lt;14),"",B348-AVERAGE(B334:B347))</f>
        <v/>
      </c>
      <c r="J348" s="14"/>
    </row>
    <row r="349" customFormat="false" ht="15" hidden="false" customHeight="false" outlineLevel="0" collapsed="false">
      <c r="A349" s="10"/>
      <c r="B349" s="11"/>
      <c r="C349" s="11"/>
      <c r="D349" s="11"/>
      <c r="E349" s="11"/>
      <c r="F349" s="12"/>
      <c r="G349" s="11"/>
      <c r="H349" s="11"/>
      <c r="I349" s="13" t="str">
        <f aca="false">IF(OR(B349="",COUNT(B335:B348)&lt;14),"",B349-AVERAGE(B335:B348))</f>
        <v/>
      </c>
      <c r="J349" s="14"/>
    </row>
    <row r="350" customFormat="false" ht="15" hidden="false" customHeight="false" outlineLevel="0" collapsed="false">
      <c r="A350" s="10"/>
      <c r="B350" s="11"/>
      <c r="C350" s="11"/>
      <c r="D350" s="11"/>
      <c r="E350" s="11"/>
      <c r="F350" s="12"/>
      <c r="G350" s="11"/>
      <c r="H350" s="11"/>
      <c r="I350" s="13" t="str">
        <f aca="false">IF(OR(B350="",COUNT(B336:B349)&lt;14),"",B350-AVERAGE(B336:B349))</f>
        <v/>
      </c>
      <c r="J350" s="14"/>
    </row>
    <row r="351" customFormat="false" ht="15" hidden="false" customHeight="false" outlineLevel="0" collapsed="false">
      <c r="A351" s="10"/>
      <c r="B351" s="11"/>
      <c r="C351" s="11"/>
      <c r="D351" s="11"/>
      <c r="E351" s="11"/>
      <c r="F351" s="12"/>
      <c r="G351" s="11"/>
      <c r="H351" s="11"/>
      <c r="I351" s="13" t="str">
        <f aca="false">IF(OR(B351="",COUNT(B337:B350)&lt;14),"",B351-AVERAGE(B337:B350))</f>
        <v/>
      </c>
      <c r="J351" s="14"/>
    </row>
    <row r="352" customFormat="false" ht="15" hidden="false" customHeight="false" outlineLevel="0" collapsed="false">
      <c r="A352" s="10"/>
      <c r="B352" s="11"/>
      <c r="C352" s="11"/>
      <c r="D352" s="11"/>
      <c r="E352" s="11"/>
      <c r="F352" s="12"/>
      <c r="G352" s="11"/>
      <c r="H352" s="11"/>
      <c r="I352" s="13" t="str">
        <f aca="false">IF(OR(B352="",COUNT(B338:B351)&lt;14),"",B352-AVERAGE(B338:B351))</f>
        <v/>
      </c>
      <c r="J352" s="14"/>
    </row>
    <row r="353" customFormat="false" ht="15" hidden="false" customHeight="false" outlineLevel="0" collapsed="false">
      <c r="A353" s="10"/>
      <c r="B353" s="11"/>
      <c r="C353" s="11"/>
      <c r="D353" s="11"/>
      <c r="E353" s="11"/>
      <c r="F353" s="12"/>
      <c r="G353" s="11"/>
      <c r="H353" s="11"/>
      <c r="I353" s="13" t="str">
        <f aca="false">IF(OR(B353="",COUNT(B339:B352)&lt;14),"",B353-AVERAGE(B339:B352))</f>
        <v/>
      </c>
      <c r="J353" s="14"/>
    </row>
    <row r="354" customFormat="false" ht="15" hidden="false" customHeight="false" outlineLevel="0" collapsed="false">
      <c r="A354" s="10"/>
      <c r="B354" s="11"/>
      <c r="C354" s="11"/>
      <c r="D354" s="11"/>
      <c r="E354" s="11"/>
      <c r="F354" s="12"/>
      <c r="G354" s="11"/>
      <c r="H354" s="11"/>
      <c r="I354" s="13" t="str">
        <f aca="false">IF(OR(B354="",COUNT(B340:B353)&lt;14),"",B354-AVERAGE(B340:B353))</f>
        <v/>
      </c>
      <c r="J354" s="14"/>
    </row>
    <row r="355" customFormat="false" ht="15" hidden="false" customHeight="false" outlineLevel="0" collapsed="false">
      <c r="A355" s="10"/>
      <c r="B355" s="11"/>
      <c r="C355" s="11"/>
      <c r="D355" s="11"/>
      <c r="E355" s="11"/>
      <c r="F355" s="12"/>
      <c r="G355" s="11"/>
      <c r="H355" s="11"/>
      <c r="I355" s="13" t="str">
        <f aca="false">IF(OR(B355="",COUNT(B341:B354)&lt;14),"",B355-AVERAGE(B341:B354))</f>
        <v/>
      </c>
      <c r="J355" s="14"/>
    </row>
    <row r="356" customFormat="false" ht="15" hidden="false" customHeight="false" outlineLevel="0" collapsed="false">
      <c r="A356" s="10"/>
      <c r="B356" s="11"/>
      <c r="C356" s="11"/>
      <c r="D356" s="11"/>
      <c r="E356" s="11"/>
      <c r="F356" s="12"/>
      <c r="G356" s="11"/>
      <c r="H356" s="11"/>
      <c r="I356" s="13" t="str">
        <f aca="false">IF(OR(B356="",COUNT(B342:B355)&lt;14),"",B356-AVERAGE(B342:B355))</f>
        <v/>
      </c>
      <c r="J356" s="14"/>
    </row>
    <row r="357" customFormat="false" ht="15" hidden="false" customHeight="false" outlineLevel="0" collapsed="false">
      <c r="A357" s="10"/>
      <c r="B357" s="11"/>
      <c r="C357" s="11"/>
      <c r="D357" s="11"/>
      <c r="E357" s="11"/>
      <c r="F357" s="12"/>
      <c r="G357" s="11"/>
      <c r="H357" s="11"/>
      <c r="I357" s="13" t="str">
        <f aca="false">IF(OR(B357="",COUNT(B343:B356)&lt;14),"",B357-AVERAGE(B343:B356))</f>
        <v/>
      </c>
      <c r="J357" s="14"/>
    </row>
    <row r="358" customFormat="false" ht="15" hidden="false" customHeight="false" outlineLevel="0" collapsed="false">
      <c r="A358" s="10"/>
      <c r="B358" s="11"/>
      <c r="C358" s="11"/>
      <c r="D358" s="11"/>
      <c r="E358" s="11"/>
      <c r="F358" s="12"/>
      <c r="G358" s="11"/>
      <c r="H358" s="11"/>
      <c r="I358" s="13" t="str">
        <f aca="false">IF(OR(B358="",COUNT(B344:B357)&lt;14),"",B358-AVERAGE(B344:B357))</f>
        <v/>
      </c>
      <c r="J358" s="14"/>
    </row>
    <row r="359" customFormat="false" ht="15" hidden="false" customHeight="false" outlineLevel="0" collapsed="false">
      <c r="A359" s="10"/>
      <c r="B359" s="11"/>
      <c r="C359" s="11"/>
      <c r="D359" s="11"/>
      <c r="E359" s="11"/>
      <c r="F359" s="12"/>
      <c r="G359" s="11"/>
      <c r="H359" s="11"/>
      <c r="I359" s="13" t="str">
        <f aca="false">IF(OR(B359="",COUNT(B345:B358)&lt;14),"",B359-AVERAGE(B345:B358))</f>
        <v/>
      </c>
      <c r="J359" s="14"/>
    </row>
    <row r="360" customFormat="false" ht="15" hidden="false" customHeight="false" outlineLevel="0" collapsed="false">
      <c r="A360" s="10"/>
      <c r="B360" s="11"/>
      <c r="C360" s="11"/>
      <c r="D360" s="11"/>
      <c r="E360" s="11"/>
      <c r="F360" s="12"/>
      <c r="G360" s="11"/>
      <c r="H360" s="11"/>
      <c r="I360" s="13" t="str">
        <f aca="false">IF(OR(B360="",COUNT(B346:B359)&lt;14),"",B360-AVERAGE(B346:B359))</f>
        <v/>
      </c>
      <c r="J360" s="14"/>
    </row>
    <row r="361" customFormat="false" ht="15" hidden="false" customHeight="false" outlineLevel="0" collapsed="false">
      <c r="A361" s="10"/>
      <c r="B361" s="11"/>
      <c r="C361" s="11"/>
      <c r="D361" s="11"/>
      <c r="E361" s="11"/>
      <c r="F361" s="12"/>
      <c r="G361" s="11"/>
      <c r="H361" s="11"/>
      <c r="I361" s="13" t="str">
        <f aca="false">IF(OR(B361="",COUNT(B347:B360)&lt;14),"",B361-AVERAGE(B347:B360))</f>
        <v/>
      </c>
      <c r="J361" s="14"/>
    </row>
    <row r="362" customFormat="false" ht="15" hidden="false" customHeight="false" outlineLevel="0" collapsed="false">
      <c r="A362" s="10"/>
      <c r="B362" s="11"/>
      <c r="C362" s="11"/>
      <c r="D362" s="11"/>
      <c r="E362" s="11"/>
      <c r="F362" s="12"/>
      <c r="G362" s="11"/>
      <c r="H362" s="11"/>
      <c r="I362" s="13" t="str">
        <f aca="false">IF(OR(B362="",COUNT(B348:B361)&lt;14),"",B362-AVERAGE(B348:B361))</f>
        <v/>
      </c>
      <c r="J362" s="14"/>
    </row>
    <row r="363" customFormat="false" ht="15" hidden="false" customHeight="false" outlineLevel="0" collapsed="false">
      <c r="A363" s="10"/>
      <c r="B363" s="11"/>
      <c r="C363" s="11"/>
      <c r="D363" s="11"/>
      <c r="E363" s="11"/>
      <c r="F363" s="12"/>
      <c r="G363" s="11"/>
      <c r="H363" s="11"/>
      <c r="I363" s="13" t="str">
        <f aca="false">IF(OR(B363="",COUNT(B349:B362)&lt;14),"",B363-AVERAGE(B349:B362))</f>
        <v/>
      </c>
      <c r="J363" s="14"/>
    </row>
    <row r="364" customFormat="false" ht="15" hidden="false" customHeight="false" outlineLevel="0" collapsed="false">
      <c r="A364" s="10"/>
      <c r="B364" s="11"/>
      <c r="C364" s="11"/>
      <c r="D364" s="11"/>
      <c r="E364" s="11"/>
      <c r="F364" s="12"/>
      <c r="G364" s="11"/>
      <c r="H364" s="11"/>
      <c r="I364" s="13" t="str">
        <f aca="false">IF(OR(B364="",COUNT(B350:B363)&lt;14),"",B364-AVERAGE(B350:B363))</f>
        <v/>
      </c>
      <c r="J364" s="14"/>
    </row>
    <row r="365" customFormat="false" ht="15" hidden="false" customHeight="false" outlineLevel="0" collapsed="false">
      <c r="A365" s="10"/>
      <c r="B365" s="11"/>
      <c r="C365" s="11"/>
      <c r="D365" s="11"/>
      <c r="E365" s="11"/>
      <c r="F365" s="12"/>
      <c r="G365" s="11"/>
      <c r="H365" s="11"/>
      <c r="I365" s="13" t="str">
        <f aca="false">IF(OR(B365="",COUNT(B351:B364)&lt;14),"",B365-AVERAGE(B351:B364))</f>
        <v/>
      </c>
      <c r="J365" s="14"/>
    </row>
    <row r="366" customFormat="false" ht="15" hidden="false" customHeight="false" outlineLevel="0" collapsed="false">
      <c r="A366" s="10"/>
      <c r="B366" s="11"/>
      <c r="C366" s="11"/>
      <c r="D366" s="11"/>
      <c r="E366" s="11"/>
      <c r="F366" s="12"/>
      <c r="G366" s="11"/>
      <c r="H366" s="11"/>
      <c r="I366" s="13" t="str">
        <f aca="false">IF(OR(B366="",COUNT(B352:B365)&lt;14),"",B366-AVERAGE(B352:B365))</f>
        <v/>
      </c>
      <c r="J366" s="14"/>
    </row>
    <row r="367" customFormat="false" ht="15" hidden="false" customHeight="false" outlineLevel="0" collapsed="false">
      <c r="A367" s="10"/>
      <c r="B367" s="11"/>
      <c r="C367" s="11"/>
      <c r="D367" s="11"/>
      <c r="E367" s="11"/>
      <c r="F367" s="12"/>
      <c r="G367" s="11"/>
      <c r="H367" s="11"/>
      <c r="I367" s="13" t="str">
        <f aca="false">IF(OR(B367="",COUNT(B353:B366)&lt;14),"",B367-AVERAGE(B353:B366))</f>
        <v/>
      </c>
      <c r="J367" s="14"/>
    </row>
    <row r="368" customFormat="false" ht="15" hidden="false" customHeight="false" outlineLevel="0" collapsed="false">
      <c r="A368" s="10"/>
      <c r="B368" s="11"/>
      <c r="C368" s="11"/>
      <c r="D368" s="11"/>
      <c r="E368" s="11"/>
      <c r="F368" s="12"/>
      <c r="G368" s="11"/>
      <c r="H368" s="11"/>
      <c r="I368" s="13" t="str">
        <f aca="false">IF(OR(B368="",COUNT(B354:B367)&lt;14),"",B368-AVERAGE(B354:B367))</f>
        <v/>
      </c>
      <c r="J368" s="14"/>
    </row>
    <row r="369" customFormat="false" ht="15" hidden="false" customHeight="false" outlineLevel="0" collapsed="false">
      <c r="A369" s="10"/>
      <c r="B369" s="11"/>
      <c r="C369" s="11"/>
      <c r="D369" s="11"/>
      <c r="E369" s="11"/>
      <c r="F369" s="12"/>
      <c r="G369" s="11"/>
      <c r="H369" s="11"/>
      <c r="I369" s="13" t="str">
        <f aca="false">IF(OR(B369="",COUNT(B355:B368)&lt;14),"",B369-AVERAGE(B355:B368))</f>
        <v/>
      </c>
      <c r="J369" s="14"/>
    </row>
    <row r="370" customFormat="false" ht="15" hidden="false" customHeight="false" outlineLevel="0" collapsed="false">
      <c r="A370" s="10"/>
      <c r="B370" s="11"/>
      <c r="C370" s="11"/>
      <c r="D370" s="11"/>
      <c r="E370" s="11"/>
      <c r="F370" s="12"/>
      <c r="G370" s="11"/>
      <c r="H370" s="11"/>
      <c r="I370" s="13" t="str">
        <f aca="false">IF(OR(B370="",COUNT(B356:B369)&lt;14),"",B370-AVERAGE(B356:B369))</f>
        <v/>
      </c>
      <c r="J370" s="14"/>
    </row>
    <row r="371" customFormat="false" ht="15" hidden="false" customHeight="false" outlineLevel="0" collapsed="false">
      <c r="A371" s="10"/>
      <c r="B371" s="11"/>
      <c r="C371" s="11"/>
      <c r="D371" s="11"/>
      <c r="E371" s="11"/>
      <c r="F371" s="12"/>
      <c r="G371" s="11"/>
      <c r="H371" s="11"/>
      <c r="I371" s="13" t="str">
        <f aca="false">IF(OR(B371="",COUNT(B357:B370)&lt;14),"",B371-AVERAGE(B357:B370))</f>
        <v/>
      </c>
      <c r="J371" s="14"/>
    </row>
    <row r="372" customFormat="false" ht="15" hidden="false" customHeight="false" outlineLevel="0" collapsed="false">
      <c r="A372" s="10"/>
      <c r="B372" s="11"/>
      <c r="C372" s="11"/>
      <c r="D372" s="11"/>
      <c r="E372" s="11"/>
      <c r="F372" s="12"/>
      <c r="G372" s="11"/>
      <c r="H372" s="11"/>
      <c r="I372" s="13" t="str">
        <f aca="false">IF(OR(B372="",COUNT(B358:B371)&lt;14),"",B372-AVERAGE(B358:B371))</f>
        <v/>
      </c>
      <c r="J372" s="14"/>
    </row>
    <row r="373" customFormat="false" ht="15" hidden="false" customHeight="false" outlineLevel="0" collapsed="false">
      <c r="A373" s="10"/>
      <c r="B373" s="11"/>
      <c r="C373" s="11"/>
      <c r="D373" s="11"/>
      <c r="E373" s="11"/>
      <c r="F373" s="12"/>
      <c r="G373" s="11"/>
      <c r="H373" s="11"/>
      <c r="I373" s="13" t="str">
        <f aca="false">IF(OR(B373="",COUNT(B359:B372)&lt;14),"",B373-AVERAGE(B359:B372))</f>
        <v/>
      </c>
      <c r="J373" s="14"/>
    </row>
    <row r="374" customFormat="false" ht="15" hidden="false" customHeight="false" outlineLevel="0" collapsed="false">
      <c r="A374" s="10"/>
      <c r="B374" s="11"/>
      <c r="C374" s="11"/>
      <c r="D374" s="11"/>
      <c r="E374" s="11"/>
      <c r="F374" s="12"/>
      <c r="G374" s="11"/>
      <c r="H374" s="11"/>
      <c r="I374" s="13" t="str">
        <f aca="false">IF(OR(B374="",COUNT(B360:B373)&lt;14),"",B374-AVERAGE(B360:B373))</f>
        <v/>
      </c>
      <c r="J374" s="14"/>
    </row>
    <row r="375" customFormat="false" ht="15" hidden="false" customHeight="false" outlineLevel="0" collapsed="false">
      <c r="A375" s="10"/>
      <c r="B375" s="11"/>
      <c r="C375" s="11"/>
      <c r="D375" s="11"/>
      <c r="E375" s="11"/>
      <c r="F375" s="12"/>
      <c r="G375" s="11"/>
      <c r="H375" s="11"/>
      <c r="I375" s="13" t="str">
        <f aca="false">IF(OR(B375="",COUNT(B361:B374)&lt;14),"",B375-AVERAGE(B361:B374))</f>
        <v/>
      </c>
      <c r="J375" s="14"/>
    </row>
    <row r="376" customFormat="false" ht="15" hidden="false" customHeight="false" outlineLevel="0" collapsed="false">
      <c r="A376" s="10"/>
      <c r="B376" s="11"/>
      <c r="C376" s="11"/>
      <c r="D376" s="11"/>
      <c r="E376" s="11"/>
      <c r="F376" s="12"/>
      <c r="G376" s="11"/>
      <c r="H376" s="11"/>
      <c r="I376" s="13" t="str">
        <f aca="false">IF(OR(B376="",COUNT(B362:B375)&lt;14),"",B376-AVERAGE(B362:B375))</f>
        <v/>
      </c>
      <c r="J376" s="14"/>
    </row>
    <row r="377" customFormat="false" ht="15" hidden="false" customHeight="false" outlineLevel="0" collapsed="false">
      <c r="A377" s="10"/>
      <c r="B377" s="11"/>
      <c r="C377" s="11"/>
      <c r="D377" s="11"/>
      <c r="E377" s="11"/>
      <c r="F377" s="12"/>
      <c r="G377" s="11"/>
      <c r="H377" s="11"/>
      <c r="I377" s="13" t="str">
        <f aca="false">IF(OR(B377="",COUNT(B363:B376)&lt;14),"",B377-AVERAGE(B363:B376))</f>
        <v/>
      </c>
      <c r="J377" s="14"/>
    </row>
    <row r="378" customFormat="false" ht="15" hidden="false" customHeight="false" outlineLevel="0" collapsed="false">
      <c r="A378" s="10"/>
      <c r="B378" s="11"/>
      <c r="C378" s="11"/>
      <c r="D378" s="11"/>
      <c r="E378" s="11"/>
      <c r="F378" s="12"/>
      <c r="G378" s="11"/>
      <c r="H378" s="11"/>
      <c r="I378" s="13" t="str">
        <f aca="false">IF(OR(B378="",COUNT(B364:B377)&lt;14),"",B378-AVERAGE(B364:B377))</f>
        <v/>
      </c>
      <c r="J378" s="14"/>
    </row>
    <row r="379" customFormat="false" ht="15" hidden="false" customHeight="false" outlineLevel="0" collapsed="false">
      <c r="A379" s="10"/>
      <c r="B379" s="11"/>
      <c r="C379" s="11"/>
      <c r="D379" s="11"/>
      <c r="E379" s="11"/>
      <c r="F379" s="12"/>
      <c r="G379" s="11"/>
      <c r="H379" s="11"/>
      <c r="I379" s="13" t="str">
        <f aca="false">IF(OR(B379="",COUNT(B365:B378)&lt;14),"",B379-AVERAGE(B365:B378))</f>
        <v/>
      </c>
      <c r="J379" s="14"/>
    </row>
    <row r="380" customFormat="false" ht="15" hidden="false" customHeight="false" outlineLevel="0" collapsed="false">
      <c r="A380" s="10"/>
      <c r="B380" s="11"/>
      <c r="C380" s="11"/>
      <c r="D380" s="11"/>
      <c r="E380" s="11"/>
      <c r="F380" s="12"/>
      <c r="G380" s="11"/>
      <c r="H380" s="11"/>
      <c r="I380" s="13" t="str">
        <f aca="false">IF(OR(B380="",COUNT(B366:B379)&lt;14),"",B380-AVERAGE(B366:B379))</f>
        <v/>
      </c>
      <c r="J380" s="14"/>
    </row>
    <row r="381" customFormat="false" ht="15" hidden="false" customHeight="false" outlineLevel="0" collapsed="false">
      <c r="A381" s="10"/>
      <c r="B381" s="11"/>
      <c r="C381" s="11"/>
      <c r="D381" s="11"/>
      <c r="E381" s="11"/>
      <c r="F381" s="12"/>
      <c r="G381" s="11"/>
      <c r="H381" s="11"/>
      <c r="I381" s="13" t="str">
        <f aca="false">IF(OR(B381="",COUNT(B367:B380)&lt;14),"",B381-AVERAGE(B367:B380))</f>
        <v/>
      </c>
      <c r="J381" s="14"/>
    </row>
    <row r="382" customFormat="false" ht="15" hidden="false" customHeight="false" outlineLevel="0" collapsed="false">
      <c r="A382" s="10"/>
      <c r="B382" s="11"/>
      <c r="C382" s="11"/>
      <c r="D382" s="11"/>
      <c r="E382" s="11"/>
      <c r="F382" s="12"/>
      <c r="G382" s="11"/>
      <c r="H382" s="11"/>
      <c r="I382" s="13" t="str">
        <f aca="false">IF(OR(B382="",COUNT(B368:B381)&lt;14),"",B382-AVERAGE(B368:B381))</f>
        <v/>
      </c>
      <c r="J382" s="14"/>
    </row>
    <row r="383" customFormat="false" ht="15" hidden="false" customHeight="false" outlineLevel="0" collapsed="false">
      <c r="A383" s="10"/>
      <c r="B383" s="11"/>
      <c r="C383" s="11"/>
      <c r="D383" s="11"/>
      <c r="E383" s="11"/>
      <c r="F383" s="12"/>
      <c r="G383" s="11"/>
      <c r="H383" s="11"/>
      <c r="I383" s="13" t="str">
        <f aca="false">IF(OR(B383="",COUNT(B369:B382)&lt;14),"",B383-AVERAGE(B369:B382))</f>
        <v/>
      </c>
      <c r="J383" s="14"/>
    </row>
    <row r="384" customFormat="false" ht="15" hidden="false" customHeight="false" outlineLevel="0" collapsed="false">
      <c r="A384" s="10"/>
      <c r="B384" s="11"/>
      <c r="C384" s="11"/>
      <c r="D384" s="11"/>
      <c r="E384" s="11"/>
      <c r="F384" s="12"/>
      <c r="G384" s="11"/>
      <c r="H384" s="11"/>
      <c r="I384" s="13" t="str">
        <f aca="false">IF(OR(B384="",COUNT(B370:B383)&lt;14),"",B384-AVERAGE(B370:B383))</f>
        <v/>
      </c>
      <c r="J384" s="14"/>
    </row>
    <row r="385" customFormat="false" ht="15" hidden="false" customHeight="false" outlineLevel="0" collapsed="false">
      <c r="A385" s="10"/>
      <c r="B385" s="11"/>
      <c r="C385" s="11"/>
      <c r="D385" s="11"/>
      <c r="E385" s="11"/>
      <c r="F385" s="12"/>
      <c r="G385" s="11"/>
      <c r="H385" s="11"/>
      <c r="I385" s="13" t="str">
        <f aca="false">IF(OR(B385="",COUNT(B371:B384)&lt;14),"",B385-AVERAGE(B371:B384))</f>
        <v/>
      </c>
      <c r="J385" s="14"/>
    </row>
    <row r="386" customFormat="false" ht="15" hidden="false" customHeight="false" outlineLevel="0" collapsed="false">
      <c r="A386" s="10"/>
      <c r="B386" s="11"/>
      <c r="C386" s="11"/>
      <c r="D386" s="11"/>
      <c r="E386" s="11"/>
      <c r="F386" s="12"/>
      <c r="G386" s="11"/>
      <c r="H386" s="11"/>
      <c r="I386" s="13" t="str">
        <f aca="false">IF(OR(B386="",COUNT(B372:B385)&lt;14),"",B386-AVERAGE(B372:B385))</f>
        <v/>
      </c>
      <c r="J386" s="14"/>
    </row>
    <row r="387" customFormat="false" ht="15" hidden="false" customHeight="false" outlineLevel="0" collapsed="false">
      <c r="A387" s="10"/>
      <c r="B387" s="11"/>
      <c r="C387" s="11"/>
      <c r="D387" s="11"/>
      <c r="E387" s="11"/>
      <c r="F387" s="12"/>
      <c r="G387" s="11"/>
      <c r="H387" s="11"/>
      <c r="I387" s="13" t="str">
        <f aca="false">IF(OR(B387="",COUNT(B373:B386)&lt;14),"",B387-AVERAGE(B373:B386))</f>
        <v/>
      </c>
      <c r="J387" s="14"/>
    </row>
    <row r="388" customFormat="false" ht="15" hidden="false" customHeight="false" outlineLevel="0" collapsed="false">
      <c r="A388" s="10"/>
      <c r="B388" s="11"/>
      <c r="C388" s="11"/>
      <c r="D388" s="11"/>
      <c r="E388" s="11"/>
      <c r="F388" s="12"/>
      <c r="G388" s="11"/>
      <c r="H388" s="11"/>
      <c r="I388" s="13" t="str">
        <f aca="false">IF(OR(B388="",COUNT(B374:B387)&lt;14),"",B388-AVERAGE(B374:B387))</f>
        <v/>
      </c>
      <c r="J388" s="14"/>
    </row>
    <row r="389" customFormat="false" ht="15" hidden="false" customHeight="false" outlineLevel="0" collapsed="false">
      <c r="A389" s="10"/>
      <c r="B389" s="11"/>
      <c r="C389" s="11"/>
      <c r="D389" s="11"/>
      <c r="E389" s="11"/>
      <c r="F389" s="12"/>
      <c r="G389" s="11"/>
      <c r="H389" s="11"/>
      <c r="I389" s="13" t="str">
        <f aca="false">IF(OR(B389="",COUNT(B375:B388)&lt;14),"",B389-AVERAGE(B375:B388))</f>
        <v/>
      </c>
      <c r="J389" s="14"/>
    </row>
    <row r="390" customFormat="false" ht="15" hidden="false" customHeight="false" outlineLevel="0" collapsed="false">
      <c r="A390" s="10"/>
      <c r="B390" s="11"/>
      <c r="C390" s="11"/>
      <c r="D390" s="11"/>
      <c r="E390" s="11"/>
      <c r="F390" s="12"/>
      <c r="G390" s="11"/>
      <c r="H390" s="11"/>
      <c r="I390" s="13" t="str">
        <f aca="false">IF(OR(B390="",COUNT(B376:B389)&lt;14),"",B390-AVERAGE(B376:B389))</f>
        <v/>
      </c>
      <c r="J390" s="14"/>
    </row>
    <row r="391" customFormat="false" ht="15" hidden="false" customHeight="false" outlineLevel="0" collapsed="false">
      <c r="A391" s="10"/>
      <c r="B391" s="11"/>
      <c r="C391" s="11"/>
      <c r="D391" s="11"/>
      <c r="E391" s="11"/>
      <c r="F391" s="12"/>
      <c r="G391" s="11"/>
      <c r="H391" s="11"/>
      <c r="I391" s="13" t="str">
        <f aca="false">IF(OR(B391="",COUNT(B377:B390)&lt;14),"",B391-AVERAGE(B377:B390))</f>
        <v/>
      </c>
      <c r="J391" s="14"/>
    </row>
    <row r="392" customFormat="false" ht="15" hidden="false" customHeight="false" outlineLevel="0" collapsed="false">
      <c r="A392" s="10"/>
      <c r="B392" s="11"/>
      <c r="C392" s="11"/>
      <c r="D392" s="11"/>
      <c r="E392" s="11"/>
      <c r="F392" s="12"/>
      <c r="G392" s="11"/>
      <c r="H392" s="11"/>
      <c r="I392" s="13" t="str">
        <f aca="false">IF(OR(B392="",COUNT(B378:B391)&lt;14),"",B392-AVERAGE(B378:B391))</f>
        <v/>
      </c>
      <c r="J392" s="14"/>
    </row>
    <row r="393" customFormat="false" ht="15" hidden="false" customHeight="false" outlineLevel="0" collapsed="false">
      <c r="A393" s="10"/>
      <c r="B393" s="11"/>
      <c r="C393" s="11"/>
      <c r="D393" s="11"/>
      <c r="E393" s="11"/>
      <c r="F393" s="12"/>
      <c r="G393" s="11"/>
      <c r="H393" s="11"/>
      <c r="I393" s="13" t="str">
        <f aca="false">IF(OR(B393="",COUNT(B379:B392)&lt;14),"",B393-AVERAGE(B379:B392))</f>
        <v/>
      </c>
      <c r="J393" s="14"/>
    </row>
    <row r="394" customFormat="false" ht="15" hidden="false" customHeight="false" outlineLevel="0" collapsed="false">
      <c r="A394" s="10"/>
      <c r="B394" s="11"/>
      <c r="C394" s="11"/>
      <c r="D394" s="11"/>
      <c r="E394" s="11"/>
      <c r="F394" s="12"/>
      <c r="G394" s="11"/>
      <c r="H394" s="11"/>
      <c r="I394" s="13" t="str">
        <f aca="false">IF(OR(B394="",COUNT(B380:B393)&lt;14),"",B394-AVERAGE(B380:B393))</f>
        <v/>
      </c>
      <c r="J394" s="14"/>
    </row>
    <row r="395" customFormat="false" ht="15" hidden="false" customHeight="false" outlineLevel="0" collapsed="false">
      <c r="A395" s="10"/>
      <c r="B395" s="11"/>
      <c r="C395" s="11"/>
      <c r="D395" s="11"/>
      <c r="E395" s="11"/>
      <c r="F395" s="12"/>
      <c r="G395" s="11"/>
      <c r="H395" s="11"/>
      <c r="I395" s="13" t="str">
        <f aca="false">IF(OR(B395="",COUNT(B381:B394)&lt;14),"",B395-AVERAGE(B381:B394))</f>
        <v/>
      </c>
      <c r="J395" s="14"/>
    </row>
    <row r="396" customFormat="false" ht="15" hidden="false" customHeight="false" outlineLevel="0" collapsed="false">
      <c r="A396" s="10"/>
      <c r="B396" s="11"/>
      <c r="C396" s="11"/>
      <c r="D396" s="11"/>
      <c r="E396" s="11"/>
      <c r="F396" s="12"/>
      <c r="G396" s="11"/>
      <c r="H396" s="11"/>
      <c r="I396" s="13" t="str">
        <f aca="false">IF(OR(B396="",COUNT(B382:B395)&lt;14),"",B396-AVERAGE(B382:B395))</f>
        <v/>
      </c>
      <c r="J396" s="14"/>
    </row>
    <row r="397" customFormat="false" ht="15" hidden="false" customHeight="false" outlineLevel="0" collapsed="false">
      <c r="A397" s="10"/>
      <c r="B397" s="11"/>
      <c r="C397" s="11"/>
      <c r="D397" s="11"/>
      <c r="E397" s="11"/>
      <c r="F397" s="12"/>
      <c r="G397" s="11"/>
      <c r="H397" s="11"/>
      <c r="I397" s="13" t="str">
        <f aca="false">IF(OR(B397="",COUNT(B383:B396)&lt;14),"",B397-AVERAGE(B383:B396))</f>
        <v/>
      </c>
      <c r="J397" s="14"/>
    </row>
    <row r="398" customFormat="false" ht="15" hidden="false" customHeight="false" outlineLevel="0" collapsed="false">
      <c r="A398" s="10"/>
      <c r="B398" s="11"/>
      <c r="C398" s="11"/>
      <c r="D398" s="11"/>
      <c r="E398" s="11"/>
      <c r="F398" s="12"/>
      <c r="G398" s="11"/>
      <c r="H398" s="11"/>
      <c r="I398" s="13" t="str">
        <f aca="false">IF(OR(B398="",COUNT(B384:B397)&lt;14),"",B398-AVERAGE(B384:B397))</f>
        <v/>
      </c>
      <c r="J398" s="14"/>
    </row>
    <row r="399" customFormat="false" ht="15" hidden="false" customHeight="false" outlineLevel="0" collapsed="false">
      <c r="A399" s="10"/>
      <c r="B399" s="11"/>
      <c r="C399" s="11"/>
      <c r="D399" s="11"/>
      <c r="E399" s="11"/>
      <c r="F399" s="12"/>
      <c r="G399" s="11"/>
      <c r="H399" s="11"/>
      <c r="I399" s="13" t="str">
        <f aca="false">IF(OR(B399="",COUNT(B385:B398)&lt;14),"",B399-AVERAGE(B385:B398))</f>
        <v/>
      </c>
      <c r="J399" s="14"/>
    </row>
    <row r="400" customFormat="false" ht="15" hidden="false" customHeight="false" outlineLevel="0" collapsed="false">
      <c r="A400" s="10"/>
      <c r="B400" s="11"/>
      <c r="C400" s="11"/>
      <c r="D400" s="11"/>
      <c r="E400" s="11"/>
      <c r="F400" s="12"/>
      <c r="G400" s="11"/>
      <c r="H400" s="11"/>
      <c r="I400" s="13" t="str">
        <f aca="false">IF(OR(B400="",COUNT(B386:B399)&lt;14),"",B400-AVERAGE(B386:B399))</f>
        <v/>
      </c>
      <c r="J400" s="14"/>
    </row>
    <row r="401" customFormat="false" ht="15" hidden="false" customHeight="false" outlineLevel="0" collapsed="false">
      <c r="A401" s="10"/>
      <c r="B401" s="11"/>
      <c r="C401" s="11"/>
      <c r="D401" s="11"/>
      <c r="E401" s="11"/>
      <c r="F401" s="12"/>
      <c r="G401" s="11"/>
      <c r="H401" s="11"/>
      <c r="I401" s="13" t="str">
        <f aca="false">IF(OR(B401="",COUNT(B387:B400)&lt;14),"",B401-AVERAGE(B387:B400))</f>
        <v/>
      </c>
      <c r="J401" s="14"/>
    </row>
    <row r="402" customFormat="false" ht="15" hidden="false" customHeight="false" outlineLevel="0" collapsed="false">
      <c r="A402" s="10"/>
      <c r="B402" s="11"/>
      <c r="C402" s="11"/>
      <c r="D402" s="11"/>
      <c r="E402" s="11"/>
      <c r="F402" s="12"/>
      <c r="G402" s="11"/>
      <c r="H402" s="11"/>
      <c r="I402" s="13" t="str">
        <f aca="false">IF(OR(B402="",COUNT(B388:B401)&lt;14),"",B402-AVERAGE(B388:B401))</f>
        <v/>
      </c>
      <c r="J402" s="14"/>
    </row>
    <row r="403" customFormat="false" ht="15" hidden="false" customHeight="false" outlineLevel="0" collapsed="false">
      <c r="A403" s="10"/>
      <c r="B403" s="11"/>
      <c r="C403" s="11"/>
      <c r="D403" s="11"/>
      <c r="E403" s="11"/>
      <c r="F403" s="12"/>
      <c r="G403" s="11"/>
      <c r="H403" s="11"/>
      <c r="I403" s="13" t="str">
        <f aca="false">IF(OR(B403="",COUNT(B389:B402)&lt;14),"",B403-AVERAGE(B389:B402))</f>
        <v/>
      </c>
      <c r="J403" s="14"/>
    </row>
    <row r="404" customFormat="false" ht="15" hidden="false" customHeight="false" outlineLevel="0" collapsed="false">
      <c r="A404" s="10"/>
      <c r="B404" s="11"/>
      <c r="C404" s="11"/>
      <c r="D404" s="11"/>
      <c r="E404" s="11"/>
      <c r="F404" s="12"/>
      <c r="G404" s="11"/>
      <c r="H404" s="11"/>
      <c r="I404" s="13" t="str">
        <f aca="false">IF(OR(B404="",COUNT(B390:B403)&lt;14),"",B404-AVERAGE(B390:B403))</f>
        <v/>
      </c>
      <c r="J404" s="14"/>
    </row>
    <row r="405" customFormat="false" ht="15" hidden="false" customHeight="false" outlineLevel="0" collapsed="false">
      <c r="A405" s="10"/>
      <c r="B405" s="11"/>
      <c r="C405" s="11"/>
      <c r="D405" s="11"/>
      <c r="E405" s="11"/>
      <c r="F405" s="12"/>
      <c r="G405" s="11"/>
      <c r="H405" s="11"/>
      <c r="I405" s="13" t="str">
        <f aca="false">IF(OR(B405="",COUNT(B391:B404)&lt;14),"",B405-AVERAGE(B391:B404))</f>
        <v/>
      </c>
      <c r="J405" s="14"/>
    </row>
  </sheetData>
  <conditionalFormatting sqref="C6:C405">
    <cfRule type="expression" priority="2" aboveAverage="0" equalAverage="0" bottom="0" percent="0" rank="0" text="" dxfId="0">
      <formula>$C6="yes"</formula>
    </cfRule>
  </conditionalFormatting>
  <conditionalFormatting sqref="H6:H405">
    <cfRule type="expression" priority="3" aboveAverage="0" equalAverage="0" bottom="0" percent="0" rank="0" text="" dxfId="0">
      <formula>$H6="Bad"</formula>
    </cfRule>
    <cfRule type="expression" priority="4" aboveAverage="0" equalAverage="0" bottom="0" percent="0" rank="0" text="" dxfId="1">
      <formula>$H6="Yellow"</formula>
    </cfRule>
    <cfRule type="expression" priority="5" aboveAverage="0" equalAverage="0" bottom="0" percent="0" rank="0" text="" dxfId="2">
      <formula>$H6="Clean"</formula>
    </cfRule>
  </conditionalFormatting>
  <conditionalFormatting sqref="I6:I405">
    <cfRule type="expression" priority="6" aboveAverage="0" equalAverage="0" bottom="0" percent="0" rank="0" text="" dxfId="1">
      <formula>AND(ISNUMBER($I6),$I6&gt;=2)</formula>
    </cfRule>
  </conditionalFormatting>
  <dataValidations count="5">
    <dataValidation allowBlank="true" error="Enter a number from 0 to 10." errorStyle="stop" operator="between" prompt="Your own 0–10 score on the same morning test, same time, same way." showDropDown="false" showErrorMessage="true" showInputMessage="true" sqref="B6:B405" type="decimal">
      <formula1>0</formula1>
      <formula2>10</formula2>
    </dataValidation>
    <dataValidation allowBlank="true" errorStyle="stop" operator="between" prompt="Anything below the gluteal fold, either leg, at any point. Yes = check the red flags first." showDropDown="false" showErrorMessage="false" showInputMessage="true" sqref="C6:C405" type="list">
      <formula1>"no,yes"</formula1>
      <formula2>0</formula2>
    </dataValidation>
    <dataValidation allowBlank="true" error="Enter a number from 0 to 24." errorStyle="stop" operator="between" prompt="Time asleep, to the half hour." showDropDown="false" showErrorMessage="true" showInputMessage="true" sqref="D6:D405" type="decimal">
      <formula1>0</formula1>
      <formula2>24</formula2>
    </dataValidation>
    <dataValidation allowBlank="true" error="Enter a number from 1 to 5." errorStyle="stop" operator="between" prompt="Your own 1–5 scale." showDropDown="false" showErrorMessage="true" showInputMessage="true" sqref="E6:E405" type="decimal">
      <formula1>1</formula1>
      <formula2>5</formula2>
    </dataValidation>
    <dataValidation allowBlank="true" errorStyle="stop" operator="between" prompt="Clean: stiffness near baseline. Yellow: clearly above, settles with the walk. Bad: well above and does not settle, or below-glute yes." showDropDown="false" showErrorMessage="false" showInputMessage="true" sqref="H6:H405" type="list">
      <formula1>"Clean,Yellow,Bad"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7" min="5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40"/>
  </cols>
  <sheetData>
    <row r="1" customFormat="false" ht="19.7" hidden="false" customHeight="false" outlineLevel="0" collapsed="false">
      <c r="A1" s="7" t="s">
        <v>35</v>
      </c>
    </row>
    <row r="2" customFormat="false" ht="15" hidden="false" customHeight="false" outlineLevel="0" collapsed="false">
      <c r="A2" s="8" t="s">
        <v>36</v>
      </c>
    </row>
    <row r="3" customFormat="false" ht="15" hidden="false" customHeight="false" outlineLevel="0" collapsed="false">
      <c r="A3" s="8" t="s">
        <v>20</v>
      </c>
    </row>
    <row r="4" customFormat="false" ht="15" hidden="false" customHeight="false" outlineLevel="0" collapsed="false">
      <c r="L4" s="8" t="s">
        <v>37</v>
      </c>
    </row>
    <row r="5" customFormat="false" ht="30" hidden="false" customHeight="true" outlineLevel="0" collapsed="false">
      <c r="A5" s="9" t="s">
        <v>22</v>
      </c>
      <c r="B5" s="9" t="s">
        <v>38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9" t="s">
        <v>44</v>
      </c>
      <c r="I5" s="9" t="s">
        <v>45</v>
      </c>
      <c r="J5" s="9" t="s">
        <v>46</v>
      </c>
      <c r="K5" s="9" t="s">
        <v>47</v>
      </c>
      <c r="L5" s="9" t="s">
        <v>31</v>
      </c>
    </row>
    <row r="6" customFormat="false" ht="15" hidden="false" customHeight="false" outlineLevel="0" collapsed="false">
      <c r="A6" s="10" t="n">
        <v>46027</v>
      </c>
      <c r="B6" s="11" t="s">
        <v>48</v>
      </c>
      <c r="C6" s="11" t="s">
        <v>49</v>
      </c>
      <c r="D6" s="11" t="n">
        <v>80</v>
      </c>
      <c r="E6" s="11" t="n">
        <v>3</v>
      </c>
      <c r="F6" s="11" t="n">
        <v>8</v>
      </c>
      <c r="G6" s="11" t="n">
        <v>7</v>
      </c>
      <c r="H6" s="15" t="n">
        <f aca="false">IF(OR(D6="",F6=""),"",IF(F6&lt;=1,D6,D6*(1+F6/30)))</f>
        <v>101.333333333333</v>
      </c>
      <c r="I6" s="15" t="n">
        <f aca="false">IF(OR(D6="",F6="",G6=""),"",IF(F6+MAX(0,10-G6)&lt;=1,D6,D6*(1+(F6+MAX(0,10-G6))/30)))</f>
        <v>109.333333333333</v>
      </c>
      <c r="J6" s="16" t="n">
        <f aca="false">IF(A6="","",IF(AND(C6="yes",N(G6)&gt;=7),N(E6),0))</f>
        <v>3</v>
      </c>
      <c r="K6" s="17" t="n">
        <f aca="false">IF(A6="","",A6-WEEKDAY(A6,3))</f>
        <v>46027</v>
      </c>
      <c r="L6" s="11" t="s">
        <v>50</v>
      </c>
    </row>
    <row r="7" customFormat="false" ht="15" hidden="false" customHeight="false" outlineLevel="0" collapsed="false">
      <c r="A7" s="10"/>
      <c r="B7" s="11"/>
      <c r="C7" s="11"/>
      <c r="D7" s="11"/>
      <c r="E7" s="11"/>
      <c r="F7" s="11"/>
      <c r="G7" s="11"/>
      <c r="H7" s="15" t="str">
        <f aca="false">IF(OR(D7="",F7=""),"",IF(F7&lt;=1,D7,D7*(1+F7/30)))</f>
        <v/>
      </c>
      <c r="I7" s="15" t="str">
        <f aca="false">IF(OR(D7="",F7="",G7=""),"",IF(F7+MAX(0,10-G7)&lt;=1,D7,D7*(1+(F7+MAX(0,10-G7))/30)))</f>
        <v/>
      </c>
      <c r="J7" s="16" t="str">
        <f aca="false">IF(A7="","",IF(AND(C7="yes",N(G7)&gt;=7),N(E7),0))</f>
        <v/>
      </c>
      <c r="K7" s="17" t="str">
        <f aca="false">IF(A7="","",A7-WEEKDAY(A7,3))</f>
        <v/>
      </c>
      <c r="L7" s="11"/>
    </row>
    <row r="8" customFormat="false" ht="15" hidden="false" customHeight="false" outlineLevel="0" collapsed="false">
      <c r="A8" s="10"/>
      <c r="B8" s="11"/>
      <c r="C8" s="11"/>
      <c r="D8" s="11"/>
      <c r="E8" s="11"/>
      <c r="F8" s="11"/>
      <c r="G8" s="11"/>
      <c r="H8" s="15" t="str">
        <f aca="false">IF(OR(D8="",F8=""),"",IF(F8&lt;=1,D8,D8*(1+F8/30)))</f>
        <v/>
      </c>
      <c r="I8" s="15" t="str">
        <f aca="false">IF(OR(D8="",F8="",G8=""),"",IF(F8+MAX(0,10-G8)&lt;=1,D8,D8*(1+(F8+MAX(0,10-G8))/30)))</f>
        <v/>
      </c>
      <c r="J8" s="16" t="str">
        <f aca="false">IF(A8="","",IF(AND(C8="yes",N(G8)&gt;=7),N(E8),0))</f>
        <v/>
      </c>
      <c r="K8" s="17" t="str">
        <f aca="false">IF(A8="","",A8-WEEKDAY(A8,3))</f>
        <v/>
      </c>
      <c r="L8" s="11"/>
    </row>
    <row r="9" customFormat="false" ht="15" hidden="false" customHeight="false" outlineLevel="0" collapsed="false">
      <c r="A9" s="10"/>
      <c r="B9" s="11"/>
      <c r="C9" s="11"/>
      <c r="D9" s="11"/>
      <c r="E9" s="11"/>
      <c r="F9" s="11"/>
      <c r="G9" s="11"/>
      <c r="H9" s="15" t="str">
        <f aca="false">IF(OR(D9="",F9=""),"",IF(F9&lt;=1,D9,D9*(1+F9/30)))</f>
        <v/>
      </c>
      <c r="I9" s="15" t="str">
        <f aca="false">IF(OR(D9="",F9="",G9=""),"",IF(F9+MAX(0,10-G9)&lt;=1,D9,D9*(1+(F9+MAX(0,10-G9))/30)))</f>
        <v/>
      </c>
      <c r="J9" s="16" t="str">
        <f aca="false">IF(A9="","",IF(AND(C9="yes",N(G9)&gt;=7),N(E9),0))</f>
        <v/>
      </c>
      <c r="K9" s="17" t="str">
        <f aca="false">IF(A9="","",A9-WEEKDAY(A9,3))</f>
        <v/>
      </c>
      <c r="L9" s="11"/>
    </row>
    <row r="10" customFormat="false" ht="15" hidden="false" customHeight="false" outlineLevel="0" collapsed="false">
      <c r="A10" s="10"/>
      <c r="B10" s="11"/>
      <c r="C10" s="11"/>
      <c r="D10" s="11"/>
      <c r="E10" s="11"/>
      <c r="F10" s="11"/>
      <c r="G10" s="11"/>
      <c r="H10" s="15" t="str">
        <f aca="false">IF(OR(D10="",F10=""),"",IF(F10&lt;=1,D10,D10*(1+F10/30)))</f>
        <v/>
      </c>
      <c r="I10" s="15" t="str">
        <f aca="false">IF(OR(D10="",F10="",G10=""),"",IF(F10+MAX(0,10-G10)&lt;=1,D10,D10*(1+(F10+MAX(0,10-G10))/30)))</f>
        <v/>
      </c>
      <c r="J10" s="16" t="str">
        <f aca="false">IF(A10="","",IF(AND(C10="yes",N(G10)&gt;=7),N(E10),0))</f>
        <v/>
      </c>
      <c r="K10" s="17" t="str">
        <f aca="false">IF(A10="","",A10-WEEKDAY(A10,3))</f>
        <v/>
      </c>
      <c r="L10" s="11"/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1"/>
      <c r="G11" s="11"/>
      <c r="H11" s="15" t="str">
        <f aca="false">IF(OR(D11="",F11=""),"",IF(F11&lt;=1,D11,D11*(1+F11/30)))</f>
        <v/>
      </c>
      <c r="I11" s="15" t="str">
        <f aca="false">IF(OR(D11="",F11="",G11=""),"",IF(F11+MAX(0,10-G11)&lt;=1,D11,D11*(1+(F11+MAX(0,10-G11))/30)))</f>
        <v/>
      </c>
      <c r="J11" s="16" t="str">
        <f aca="false">IF(A11="","",IF(AND(C11="yes",N(G11)&gt;=7),N(E11),0))</f>
        <v/>
      </c>
      <c r="K11" s="17" t="str">
        <f aca="false">IF(A11="","",A11-WEEKDAY(A11,3))</f>
        <v/>
      </c>
      <c r="L11" s="11"/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1"/>
      <c r="G12" s="11"/>
      <c r="H12" s="15" t="str">
        <f aca="false">IF(OR(D12="",F12=""),"",IF(F12&lt;=1,D12,D12*(1+F12/30)))</f>
        <v/>
      </c>
      <c r="I12" s="15" t="str">
        <f aca="false">IF(OR(D12="",F12="",G12=""),"",IF(F12+MAX(0,10-G12)&lt;=1,D12,D12*(1+(F12+MAX(0,10-G12))/30)))</f>
        <v/>
      </c>
      <c r="J12" s="16" t="str">
        <f aca="false">IF(A12="","",IF(AND(C12="yes",N(G12)&gt;=7),N(E12),0))</f>
        <v/>
      </c>
      <c r="K12" s="17" t="str">
        <f aca="false">IF(A12="","",A12-WEEKDAY(A12,3))</f>
        <v/>
      </c>
      <c r="L12" s="11"/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1"/>
      <c r="G13" s="11"/>
      <c r="H13" s="15" t="str">
        <f aca="false">IF(OR(D13="",F13=""),"",IF(F13&lt;=1,D13,D13*(1+F13/30)))</f>
        <v/>
      </c>
      <c r="I13" s="15" t="str">
        <f aca="false">IF(OR(D13="",F13="",G13=""),"",IF(F13+MAX(0,10-G13)&lt;=1,D13,D13*(1+(F13+MAX(0,10-G13))/30)))</f>
        <v/>
      </c>
      <c r="J13" s="16" t="str">
        <f aca="false">IF(A13="","",IF(AND(C13="yes",N(G13)&gt;=7),N(E13),0))</f>
        <v/>
      </c>
      <c r="K13" s="17" t="str">
        <f aca="false">IF(A13="","",A13-WEEKDAY(A13,3))</f>
        <v/>
      </c>
      <c r="L13" s="11"/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1"/>
      <c r="G14" s="11"/>
      <c r="H14" s="15" t="str">
        <f aca="false">IF(OR(D14="",F14=""),"",IF(F14&lt;=1,D14,D14*(1+F14/30)))</f>
        <v/>
      </c>
      <c r="I14" s="15" t="str">
        <f aca="false">IF(OR(D14="",F14="",G14=""),"",IF(F14+MAX(0,10-G14)&lt;=1,D14,D14*(1+(F14+MAX(0,10-G14))/30)))</f>
        <v/>
      </c>
      <c r="J14" s="16" t="str">
        <f aca="false">IF(A14="","",IF(AND(C14="yes",N(G14)&gt;=7),N(E14),0))</f>
        <v/>
      </c>
      <c r="K14" s="17" t="str">
        <f aca="false">IF(A14="","",A14-WEEKDAY(A14,3))</f>
        <v/>
      </c>
      <c r="L14" s="11"/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1"/>
      <c r="G15" s="11"/>
      <c r="H15" s="15" t="str">
        <f aca="false">IF(OR(D15="",F15=""),"",IF(F15&lt;=1,D15,D15*(1+F15/30)))</f>
        <v/>
      </c>
      <c r="I15" s="15" t="str">
        <f aca="false">IF(OR(D15="",F15="",G15=""),"",IF(F15+MAX(0,10-G15)&lt;=1,D15,D15*(1+(F15+MAX(0,10-G15))/30)))</f>
        <v/>
      </c>
      <c r="J15" s="16" t="str">
        <f aca="false">IF(A15="","",IF(AND(C15="yes",N(G15)&gt;=7),N(E15),0))</f>
        <v/>
      </c>
      <c r="K15" s="17" t="str">
        <f aca="false">IF(A15="","",A15-WEEKDAY(A15,3))</f>
        <v/>
      </c>
      <c r="L15" s="11"/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1"/>
      <c r="G16" s="11"/>
      <c r="H16" s="15" t="str">
        <f aca="false">IF(OR(D16="",F16=""),"",IF(F16&lt;=1,D16,D16*(1+F16/30)))</f>
        <v/>
      </c>
      <c r="I16" s="15" t="str">
        <f aca="false">IF(OR(D16="",F16="",G16=""),"",IF(F16+MAX(0,10-G16)&lt;=1,D16,D16*(1+(F16+MAX(0,10-G16))/30)))</f>
        <v/>
      </c>
      <c r="J16" s="16" t="str">
        <f aca="false">IF(A16="","",IF(AND(C16="yes",N(G16)&gt;=7),N(E16),0))</f>
        <v/>
      </c>
      <c r="K16" s="17" t="str">
        <f aca="false">IF(A16="","",A16-WEEKDAY(A16,3))</f>
        <v/>
      </c>
      <c r="L16" s="11"/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1"/>
      <c r="G17" s="11"/>
      <c r="H17" s="15" t="str">
        <f aca="false">IF(OR(D17="",F17=""),"",IF(F17&lt;=1,D17,D17*(1+F17/30)))</f>
        <v/>
      </c>
      <c r="I17" s="15" t="str">
        <f aca="false">IF(OR(D17="",F17="",G17=""),"",IF(F17+MAX(0,10-G17)&lt;=1,D17,D17*(1+(F17+MAX(0,10-G17))/30)))</f>
        <v/>
      </c>
      <c r="J17" s="16" t="str">
        <f aca="false">IF(A17="","",IF(AND(C17="yes",N(G17)&gt;=7),N(E17),0))</f>
        <v/>
      </c>
      <c r="K17" s="17" t="str">
        <f aca="false">IF(A17="","",A17-WEEKDAY(A17,3))</f>
        <v/>
      </c>
      <c r="L17" s="11"/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1"/>
      <c r="G18" s="11"/>
      <c r="H18" s="15" t="str">
        <f aca="false">IF(OR(D18="",F18=""),"",IF(F18&lt;=1,D18,D18*(1+F18/30)))</f>
        <v/>
      </c>
      <c r="I18" s="15" t="str">
        <f aca="false">IF(OR(D18="",F18="",G18=""),"",IF(F18+MAX(0,10-G18)&lt;=1,D18,D18*(1+(F18+MAX(0,10-G18))/30)))</f>
        <v/>
      </c>
      <c r="J18" s="16" t="str">
        <f aca="false">IF(A18="","",IF(AND(C18="yes",N(G18)&gt;=7),N(E18),0))</f>
        <v/>
      </c>
      <c r="K18" s="17" t="str">
        <f aca="false">IF(A18="","",A18-WEEKDAY(A18,3))</f>
        <v/>
      </c>
      <c r="L18" s="11"/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1"/>
      <c r="G19" s="11"/>
      <c r="H19" s="15" t="str">
        <f aca="false">IF(OR(D19="",F19=""),"",IF(F19&lt;=1,D19,D19*(1+F19/30)))</f>
        <v/>
      </c>
      <c r="I19" s="15" t="str">
        <f aca="false">IF(OR(D19="",F19="",G19=""),"",IF(F19+MAX(0,10-G19)&lt;=1,D19,D19*(1+(F19+MAX(0,10-G19))/30)))</f>
        <v/>
      </c>
      <c r="J19" s="16" t="str">
        <f aca="false">IF(A19="","",IF(AND(C19="yes",N(G19)&gt;=7),N(E19),0))</f>
        <v/>
      </c>
      <c r="K19" s="17" t="str">
        <f aca="false">IF(A19="","",A19-WEEKDAY(A19,3))</f>
        <v/>
      </c>
      <c r="L19" s="11"/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1"/>
      <c r="G20" s="11"/>
      <c r="H20" s="15" t="str">
        <f aca="false">IF(OR(D20="",F20=""),"",IF(F20&lt;=1,D20,D20*(1+F20/30)))</f>
        <v/>
      </c>
      <c r="I20" s="15" t="str">
        <f aca="false">IF(OR(D20="",F20="",G20=""),"",IF(F20+MAX(0,10-G20)&lt;=1,D20,D20*(1+(F20+MAX(0,10-G20))/30)))</f>
        <v/>
      </c>
      <c r="J20" s="16" t="str">
        <f aca="false">IF(A20="","",IF(AND(C20="yes",N(G20)&gt;=7),N(E20),0))</f>
        <v/>
      </c>
      <c r="K20" s="17" t="str">
        <f aca="false">IF(A20="","",A20-WEEKDAY(A20,3))</f>
        <v/>
      </c>
      <c r="L20" s="11"/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1"/>
      <c r="G21" s="11"/>
      <c r="H21" s="15" t="str">
        <f aca="false">IF(OR(D21="",F21=""),"",IF(F21&lt;=1,D21,D21*(1+F21/30)))</f>
        <v/>
      </c>
      <c r="I21" s="15" t="str">
        <f aca="false">IF(OR(D21="",F21="",G21=""),"",IF(F21+MAX(0,10-G21)&lt;=1,D21,D21*(1+(F21+MAX(0,10-G21))/30)))</f>
        <v/>
      </c>
      <c r="J21" s="16" t="str">
        <f aca="false">IF(A21="","",IF(AND(C21="yes",N(G21)&gt;=7),N(E21),0))</f>
        <v/>
      </c>
      <c r="K21" s="17" t="str">
        <f aca="false">IF(A21="","",A21-WEEKDAY(A21,3))</f>
        <v/>
      </c>
      <c r="L21" s="11"/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1"/>
      <c r="G22" s="11"/>
      <c r="H22" s="15" t="str">
        <f aca="false">IF(OR(D22="",F22=""),"",IF(F22&lt;=1,D22,D22*(1+F22/30)))</f>
        <v/>
      </c>
      <c r="I22" s="15" t="str">
        <f aca="false">IF(OR(D22="",F22="",G22=""),"",IF(F22+MAX(0,10-G22)&lt;=1,D22,D22*(1+(F22+MAX(0,10-G22))/30)))</f>
        <v/>
      </c>
      <c r="J22" s="16" t="str">
        <f aca="false">IF(A22="","",IF(AND(C22="yes",N(G22)&gt;=7),N(E22),0))</f>
        <v/>
      </c>
      <c r="K22" s="17" t="str">
        <f aca="false">IF(A22="","",A22-WEEKDAY(A22,3))</f>
        <v/>
      </c>
      <c r="L22" s="11"/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1"/>
      <c r="G23" s="11"/>
      <c r="H23" s="15" t="str">
        <f aca="false">IF(OR(D23="",F23=""),"",IF(F23&lt;=1,D23,D23*(1+F23/30)))</f>
        <v/>
      </c>
      <c r="I23" s="15" t="str">
        <f aca="false">IF(OR(D23="",F23="",G23=""),"",IF(F23+MAX(0,10-G23)&lt;=1,D23,D23*(1+(F23+MAX(0,10-G23))/30)))</f>
        <v/>
      </c>
      <c r="J23" s="16" t="str">
        <f aca="false">IF(A23="","",IF(AND(C23="yes",N(G23)&gt;=7),N(E23),0))</f>
        <v/>
      </c>
      <c r="K23" s="17" t="str">
        <f aca="false">IF(A23="","",A23-WEEKDAY(A23,3))</f>
        <v/>
      </c>
      <c r="L23" s="11"/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1"/>
      <c r="G24" s="11"/>
      <c r="H24" s="15" t="str">
        <f aca="false">IF(OR(D24="",F24=""),"",IF(F24&lt;=1,D24,D24*(1+F24/30)))</f>
        <v/>
      </c>
      <c r="I24" s="15" t="str">
        <f aca="false">IF(OR(D24="",F24="",G24=""),"",IF(F24+MAX(0,10-G24)&lt;=1,D24,D24*(1+(F24+MAX(0,10-G24))/30)))</f>
        <v/>
      </c>
      <c r="J24" s="16" t="str">
        <f aca="false">IF(A24="","",IF(AND(C24="yes",N(G24)&gt;=7),N(E24),0))</f>
        <v/>
      </c>
      <c r="K24" s="17" t="str">
        <f aca="false">IF(A24="","",A24-WEEKDAY(A24,3))</f>
        <v/>
      </c>
      <c r="L24" s="11"/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1"/>
      <c r="G25" s="11"/>
      <c r="H25" s="15" t="str">
        <f aca="false">IF(OR(D25="",F25=""),"",IF(F25&lt;=1,D25,D25*(1+F25/30)))</f>
        <v/>
      </c>
      <c r="I25" s="15" t="str">
        <f aca="false">IF(OR(D25="",F25="",G25=""),"",IF(F25+MAX(0,10-G25)&lt;=1,D25,D25*(1+(F25+MAX(0,10-G25))/30)))</f>
        <v/>
      </c>
      <c r="J25" s="16" t="str">
        <f aca="false">IF(A25="","",IF(AND(C25="yes",N(G25)&gt;=7),N(E25),0))</f>
        <v/>
      </c>
      <c r="K25" s="17" t="str">
        <f aca="false">IF(A25="","",A25-WEEKDAY(A25,3))</f>
        <v/>
      </c>
      <c r="L25" s="11"/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1"/>
      <c r="G26" s="11"/>
      <c r="H26" s="15" t="str">
        <f aca="false">IF(OR(D26="",F26=""),"",IF(F26&lt;=1,D26,D26*(1+F26/30)))</f>
        <v/>
      </c>
      <c r="I26" s="15" t="str">
        <f aca="false">IF(OR(D26="",F26="",G26=""),"",IF(F26+MAX(0,10-G26)&lt;=1,D26,D26*(1+(F26+MAX(0,10-G26))/30)))</f>
        <v/>
      </c>
      <c r="J26" s="16" t="str">
        <f aca="false">IF(A26="","",IF(AND(C26="yes",N(G26)&gt;=7),N(E26),0))</f>
        <v/>
      </c>
      <c r="K26" s="17" t="str">
        <f aca="false">IF(A26="","",A26-WEEKDAY(A26,3))</f>
        <v/>
      </c>
      <c r="L26" s="11"/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1"/>
      <c r="G27" s="11"/>
      <c r="H27" s="15" t="str">
        <f aca="false">IF(OR(D27="",F27=""),"",IF(F27&lt;=1,D27,D27*(1+F27/30)))</f>
        <v/>
      </c>
      <c r="I27" s="15" t="str">
        <f aca="false">IF(OR(D27="",F27="",G27=""),"",IF(F27+MAX(0,10-G27)&lt;=1,D27,D27*(1+(F27+MAX(0,10-G27))/30)))</f>
        <v/>
      </c>
      <c r="J27" s="16" t="str">
        <f aca="false">IF(A27="","",IF(AND(C27="yes",N(G27)&gt;=7),N(E27),0))</f>
        <v/>
      </c>
      <c r="K27" s="17" t="str">
        <f aca="false">IF(A27="","",A27-WEEKDAY(A27,3))</f>
        <v/>
      </c>
      <c r="L27" s="11"/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1"/>
      <c r="G28" s="11"/>
      <c r="H28" s="15" t="str">
        <f aca="false">IF(OR(D28="",F28=""),"",IF(F28&lt;=1,D28,D28*(1+F28/30)))</f>
        <v/>
      </c>
      <c r="I28" s="15" t="str">
        <f aca="false">IF(OR(D28="",F28="",G28=""),"",IF(F28+MAX(0,10-G28)&lt;=1,D28,D28*(1+(F28+MAX(0,10-G28))/30)))</f>
        <v/>
      </c>
      <c r="J28" s="16" t="str">
        <f aca="false">IF(A28="","",IF(AND(C28="yes",N(G28)&gt;=7),N(E28),0))</f>
        <v/>
      </c>
      <c r="K28" s="17" t="str">
        <f aca="false">IF(A28="","",A28-WEEKDAY(A28,3))</f>
        <v/>
      </c>
      <c r="L28" s="11"/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1"/>
      <c r="G29" s="11"/>
      <c r="H29" s="15" t="str">
        <f aca="false">IF(OR(D29="",F29=""),"",IF(F29&lt;=1,D29,D29*(1+F29/30)))</f>
        <v/>
      </c>
      <c r="I29" s="15" t="str">
        <f aca="false">IF(OR(D29="",F29="",G29=""),"",IF(F29+MAX(0,10-G29)&lt;=1,D29,D29*(1+(F29+MAX(0,10-G29))/30)))</f>
        <v/>
      </c>
      <c r="J29" s="16" t="str">
        <f aca="false">IF(A29="","",IF(AND(C29="yes",N(G29)&gt;=7),N(E29),0))</f>
        <v/>
      </c>
      <c r="K29" s="17" t="str">
        <f aca="false">IF(A29="","",A29-WEEKDAY(A29,3))</f>
        <v/>
      </c>
      <c r="L29" s="11"/>
    </row>
    <row r="30" customFormat="false" ht="15" hidden="false" customHeight="false" outlineLevel="0" collapsed="false">
      <c r="A30" s="10"/>
      <c r="B30" s="11"/>
      <c r="C30" s="11"/>
      <c r="D30" s="11"/>
      <c r="E30" s="11"/>
      <c r="F30" s="11"/>
      <c r="G30" s="11"/>
      <c r="H30" s="15" t="str">
        <f aca="false">IF(OR(D30="",F30=""),"",IF(F30&lt;=1,D30,D30*(1+F30/30)))</f>
        <v/>
      </c>
      <c r="I30" s="15" t="str">
        <f aca="false">IF(OR(D30="",F30="",G30=""),"",IF(F30+MAX(0,10-G30)&lt;=1,D30,D30*(1+(F30+MAX(0,10-G30))/30)))</f>
        <v/>
      </c>
      <c r="J30" s="16" t="str">
        <f aca="false">IF(A30="","",IF(AND(C30="yes",N(G30)&gt;=7),N(E30),0))</f>
        <v/>
      </c>
      <c r="K30" s="17" t="str">
        <f aca="false">IF(A30="","",A30-WEEKDAY(A30,3))</f>
        <v/>
      </c>
      <c r="L30" s="11"/>
    </row>
    <row r="31" customFormat="false" ht="15" hidden="false" customHeight="false" outlineLevel="0" collapsed="false">
      <c r="A31" s="10"/>
      <c r="B31" s="11"/>
      <c r="C31" s="11"/>
      <c r="D31" s="11"/>
      <c r="E31" s="11"/>
      <c r="F31" s="11"/>
      <c r="G31" s="11"/>
      <c r="H31" s="15" t="str">
        <f aca="false">IF(OR(D31="",F31=""),"",IF(F31&lt;=1,D31,D31*(1+F31/30)))</f>
        <v/>
      </c>
      <c r="I31" s="15" t="str">
        <f aca="false">IF(OR(D31="",F31="",G31=""),"",IF(F31+MAX(0,10-G31)&lt;=1,D31,D31*(1+(F31+MAX(0,10-G31))/30)))</f>
        <v/>
      </c>
      <c r="J31" s="16" t="str">
        <f aca="false">IF(A31="","",IF(AND(C31="yes",N(G31)&gt;=7),N(E31),0))</f>
        <v/>
      </c>
      <c r="K31" s="17" t="str">
        <f aca="false">IF(A31="","",A31-WEEKDAY(A31,3))</f>
        <v/>
      </c>
      <c r="L31" s="11"/>
    </row>
    <row r="32" customFormat="false" ht="15" hidden="false" customHeight="false" outlineLevel="0" collapsed="false">
      <c r="A32" s="10"/>
      <c r="B32" s="11"/>
      <c r="C32" s="11"/>
      <c r="D32" s="11"/>
      <c r="E32" s="11"/>
      <c r="F32" s="11"/>
      <c r="G32" s="11"/>
      <c r="H32" s="15" t="str">
        <f aca="false">IF(OR(D32="",F32=""),"",IF(F32&lt;=1,D32,D32*(1+F32/30)))</f>
        <v/>
      </c>
      <c r="I32" s="15" t="str">
        <f aca="false">IF(OR(D32="",F32="",G32=""),"",IF(F32+MAX(0,10-G32)&lt;=1,D32,D32*(1+(F32+MAX(0,10-G32))/30)))</f>
        <v/>
      </c>
      <c r="J32" s="16" t="str">
        <f aca="false">IF(A32="","",IF(AND(C32="yes",N(G32)&gt;=7),N(E32),0))</f>
        <v/>
      </c>
      <c r="K32" s="17" t="str">
        <f aca="false">IF(A32="","",A32-WEEKDAY(A32,3))</f>
        <v/>
      </c>
      <c r="L32" s="11"/>
    </row>
    <row r="33" customFormat="false" ht="15" hidden="false" customHeight="false" outlineLevel="0" collapsed="false">
      <c r="A33" s="10"/>
      <c r="B33" s="11"/>
      <c r="C33" s="11"/>
      <c r="D33" s="11"/>
      <c r="E33" s="11"/>
      <c r="F33" s="11"/>
      <c r="G33" s="11"/>
      <c r="H33" s="15" t="str">
        <f aca="false">IF(OR(D33="",F33=""),"",IF(F33&lt;=1,D33,D33*(1+F33/30)))</f>
        <v/>
      </c>
      <c r="I33" s="15" t="str">
        <f aca="false">IF(OR(D33="",F33="",G33=""),"",IF(F33+MAX(0,10-G33)&lt;=1,D33,D33*(1+(F33+MAX(0,10-G33))/30)))</f>
        <v/>
      </c>
      <c r="J33" s="16" t="str">
        <f aca="false">IF(A33="","",IF(AND(C33="yes",N(G33)&gt;=7),N(E33),0))</f>
        <v/>
      </c>
      <c r="K33" s="17" t="str">
        <f aca="false">IF(A33="","",A33-WEEKDAY(A33,3))</f>
        <v/>
      </c>
      <c r="L33" s="11"/>
    </row>
    <row r="34" customFormat="false" ht="15" hidden="false" customHeight="false" outlineLevel="0" collapsed="false">
      <c r="A34" s="10"/>
      <c r="B34" s="11"/>
      <c r="C34" s="11"/>
      <c r="D34" s="11"/>
      <c r="E34" s="11"/>
      <c r="F34" s="11"/>
      <c r="G34" s="11"/>
      <c r="H34" s="15" t="str">
        <f aca="false">IF(OR(D34="",F34=""),"",IF(F34&lt;=1,D34,D34*(1+F34/30)))</f>
        <v/>
      </c>
      <c r="I34" s="15" t="str">
        <f aca="false">IF(OR(D34="",F34="",G34=""),"",IF(F34+MAX(0,10-G34)&lt;=1,D34,D34*(1+(F34+MAX(0,10-G34))/30)))</f>
        <v/>
      </c>
      <c r="J34" s="16" t="str">
        <f aca="false">IF(A34="","",IF(AND(C34="yes",N(G34)&gt;=7),N(E34),0))</f>
        <v/>
      </c>
      <c r="K34" s="17" t="str">
        <f aca="false">IF(A34="","",A34-WEEKDAY(A34,3))</f>
        <v/>
      </c>
      <c r="L34" s="11"/>
    </row>
    <row r="35" customFormat="false" ht="15" hidden="false" customHeight="false" outlineLevel="0" collapsed="false">
      <c r="A35" s="10"/>
      <c r="B35" s="11"/>
      <c r="C35" s="11"/>
      <c r="D35" s="11"/>
      <c r="E35" s="11"/>
      <c r="F35" s="11"/>
      <c r="G35" s="11"/>
      <c r="H35" s="15" t="str">
        <f aca="false">IF(OR(D35="",F35=""),"",IF(F35&lt;=1,D35,D35*(1+F35/30)))</f>
        <v/>
      </c>
      <c r="I35" s="15" t="str">
        <f aca="false">IF(OR(D35="",F35="",G35=""),"",IF(F35+MAX(0,10-G35)&lt;=1,D35,D35*(1+(F35+MAX(0,10-G35))/30)))</f>
        <v/>
      </c>
      <c r="J35" s="16" t="str">
        <f aca="false">IF(A35="","",IF(AND(C35="yes",N(G35)&gt;=7),N(E35),0))</f>
        <v/>
      </c>
      <c r="K35" s="17" t="str">
        <f aca="false">IF(A35="","",A35-WEEKDAY(A35,3))</f>
        <v/>
      </c>
      <c r="L35" s="11"/>
    </row>
    <row r="36" customFormat="false" ht="15" hidden="false" customHeight="false" outlineLevel="0" collapsed="false">
      <c r="A36" s="10"/>
      <c r="B36" s="11"/>
      <c r="C36" s="11"/>
      <c r="D36" s="11"/>
      <c r="E36" s="11"/>
      <c r="F36" s="11"/>
      <c r="G36" s="11"/>
      <c r="H36" s="15" t="str">
        <f aca="false">IF(OR(D36="",F36=""),"",IF(F36&lt;=1,D36,D36*(1+F36/30)))</f>
        <v/>
      </c>
      <c r="I36" s="15" t="str">
        <f aca="false">IF(OR(D36="",F36="",G36=""),"",IF(F36+MAX(0,10-G36)&lt;=1,D36,D36*(1+(F36+MAX(0,10-G36))/30)))</f>
        <v/>
      </c>
      <c r="J36" s="16" t="str">
        <f aca="false">IF(A36="","",IF(AND(C36="yes",N(G36)&gt;=7),N(E36),0))</f>
        <v/>
      </c>
      <c r="K36" s="17" t="str">
        <f aca="false">IF(A36="","",A36-WEEKDAY(A36,3))</f>
        <v/>
      </c>
      <c r="L36" s="11"/>
    </row>
    <row r="37" customFormat="false" ht="15" hidden="false" customHeight="false" outlineLevel="0" collapsed="false">
      <c r="A37" s="10"/>
      <c r="B37" s="11"/>
      <c r="C37" s="11"/>
      <c r="D37" s="11"/>
      <c r="E37" s="11"/>
      <c r="F37" s="11"/>
      <c r="G37" s="11"/>
      <c r="H37" s="15" t="str">
        <f aca="false">IF(OR(D37="",F37=""),"",IF(F37&lt;=1,D37,D37*(1+F37/30)))</f>
        <v/>
      </c>
      <c r="I37" s="15" t="str">
        <f aca="false">IF(OR(D37="",F37="",G37=""),"",IF(F37+MAX(0,10-G37)&lt;=1,D37,D37*(1+(F37+MAX(0,10-G37))/30)))</f>
        <v/>
      </c>
      <c r="J37" s="16" t="str">
        <f aca="false">IF(A37="","",IF(AND(C37="yes",N(G37)&gt;=7),N(E37),0))</f>
        <v/>
      </c>
      <c r="K37" s="17" t="str">
        <f aca="false">IF(A37="","",A37-WEEKDAY(A37,3))</f>
        <v/>
      </c>
      <c r="L37" s="11"/>
    </row>
    <row r="38" customFormat="false" ht="15" hidden="false" customHeight="false" outlineLevel="0" collapsed="false">
      <c r="A38" s="10"/>
      <c r="B38" s="11"/>
      <c r="C38" s="11"/>
      <c r="D38" s="11"/>
      <c r="E38" s="11"/>
      <c r="F38" s="11"/>
      <c r="G38" s="11"/>
      <c r="H38" s="15" t="str">
        <f aca="false">IF(OR(D38="",F38=""),"",IF(F38&lt;=1,D38,D38*(1+F38/30)))</f>
        <v/>
      </c>
      <c r="I38" s="15" t="str">
        <f aca="false">IF(OR(D38="",F38="",G38=""),"",IF(F38+MAX(0,10-G38)&lt;=1,D38,D38*(1+(F38+MAX(0,10-G38))/30)))</f>
        <v/>
      </c>
      <c r="J38" s="16" t="str">
        <f aca="false">IF(A38="","",IF(AND(C38="yes",N(G38)&gt;=7),N(E38),0))</f>
        <v/>
      </c>
      <c r="K38" s="17" t="str">
        <f aca="false">IF(A38="","",A38-WEEKDAY(A38,3))</f>
        <v/>
      </c>
      <c r="L38" s="11"/>
    </row>
    <row r="39" customFormat="false" ht="15" hidden="false" customHeight="false" outlineLevel="0" collapsed="false">
      <c r="A39" s="10"/>
      <c r="B39" s="11"/>
      <c r="C39" s="11"/>
      <c r="D39" s="11"/>
      <c r="E39" s="11"/>
      <c r="F39" s="11"/>
      <c r="G39" s="11"/>
      <c r="H39" s="15" t="str">
        <f aca="false">IF(OR(D39="",F39=""),"",IF(F39&lt;=1,D39,D39*(1+F39/30)))</f>
        <v/>
      </c>
      <c r="I39" s="15" t="str">
        <f aca="false">IF(OR(D39="",F39="",G39=""),"",IF(F39+MAX(0,10-G39)&lt;=1,D39,D39*(1+(F39+MAX(0,10-G39))/30)))</f>
        <v/>
      </c>
      <c r="J39" s="16" t="str">
        <f aca="false">IF(A39="","",IF(AND(C39="yes",N(G39)&gt;=7),N(E39),0))</f>
        <v/>
      </c>
      <c r="K39" s="17" t="str">
        <f aca="false">IF(A39="","",A39-WEEKDAY(A39,3))</f>
        <v/>
      </c>
      <c r="L39" s="11"/>
    </row>
    <row r="40" customFormat="false" ht="15" hidden="false" customHeight="false" outlineLevel="0" collapsed="false">
      <c r="A40" s="10"/>
      <c r="B40" s="11"/>
      <c r="C40" s="11"/>
      <c r="D40" s="11"/>
      <c r="E40" s="11"/>
      <c r="F40" s="11"/>
      <c r="G40" s="11"/>
      <c r="H40" s="15" t="str">
        <f aca="false">IF(OR(D40="",F40=""),"",IF(F40&lt;=1,D40,D40*(1+F40/30)))</f>
        <v/>
      </c>
      <c r="I40" s="15" t="str">
        <f aca="false">IF(OR(D40="",F40="",G40=""),"",IF(F40+MAX(0,10-G40)&lt;=1,D40,D40*(1+(F40+MAX(0,10-G40))/30)))</f>
        <v/>
      </c>
      <c r="J40" s="16" t="str">
        <f aca="false">IF(A40="","",IF(AND(C40="yes",N(G40)&gt;=7),N(E40),0))</f>
        <v/>
      </c>
      <c r="K40" s="17" t="str">
        <f aca="false">IF(A40="","",A40-WEEKDAY(A40,3))</f>
        <v/>
      </c>
      <c r="L40" s="11"/>
    </row>
    <row r="41" customFormat="false" ht="15" hidden="false" customHeight="false" outlineLevel="0" collapsed="false">
      <c r="A41" s="10"/>
      <c r="B41" s="11"/>
      <c r="C41" s="11"/>
      <c r="D41" s="11"/>
      <c r="E41" s="11"/>
      <c r="F41" s="11"/>
      <c r="G41" s="11"/>
      <c r="H41" s="15" t="str">
        <f aca="false">IF(OR(D41="",F41=""),"",IF(F41&lt;=1,D41,D41*(1+F41/30)))</f>
        <v/>
      </c>
      <c r="I41" s="15" t="str">
        <f aca="false">IF(OR(D41="",F41="",G41=""),"",IF(F41+MAX(0,10-G41)&lt;=1,D41,D41*(1+(F41+MAX(0,10-G41))/30)))</f>
        <v/>
      </c>
      <c r="J41" s="16" t="str">
        <f aca="false">IF(A41="","",IF(AND(C41="yes",N(G41)&gt;=7),N(E41),0))</f>
        <v/>
      </c>
      <c r="K41" s="17" t="str">
        <f aca="false">IF(A41="","",A41-WEEKDAY(A41,3))</f>
        <v/>
      </c>
      <c r="L41" s="11"/>
    </row>
    <row r="42" customFormat="false" ht="15" hidden="false" customHeight="false" outlineLevel="0" collapsed="false">
      <c r="A42" s="10"/>
      <c r="B42" s="11"/>
      <c r="C42" s="11"/>
      <c r="D42" s="11"/>
      <c r="E42" s="11"/>
      <c r="F42" s="11"/>
      <c r="G42" s="11"/>
      <c r="H42" s="15" t="str">
        <f aca="false">IF(OR(D42="",F42=""),"",IF(F42&lt;=1,D42,D42*(1+F42/30)))</f>
        <v/>
      </c>
      <c r="I42" s="15" t="str">
        <f aca="false">IF(OR(D42="",F42="",G42=""),"",IF(F42+MAX(0,10-G42)&lt;=1,D42,D42*(1+(F42+MAX(0,10-G42))/30)))</f>
        <v/>
      </c>
      <c r="J42" s="16" t="str">
        <f aca="false">IF(A42="","",IF(AND(C42="yes",N(G42)&gt;=7),N(E42),0))</f>
        <v/>
      </c>
      <c r="K42" s="17" t="str">
        <f aca="false">IF(A42="","",A42-WEEKDAY(A42,3))</f>
        <v/>
      </c>
      <c r="L42" s="11"/>
    </row>
    <row r="43" customFormat="false" ht="15" hidden="false" customHeight="false" outlineLevel="0" collapsed="false">
      <c r="A43" s="10"/>
      <c r="B43" s="11"/>
      <c r="C43" s="11"/>
      <c r="D43" s="11"/>
      <c r="E43" s="11"/>
      <c r="F43" s="11"/>
      <c r="G43" s="11"/>
      <c r="H43" s="15" t="str">
        <f aca="false">IF(OR(D43="",F43=""),"",IF(F43&lt;=1,D43,D43*(1+F43/30)))</f>
        <v/>
      </c>
      <c r="I43" s="15" t="str">
        <f aca="false">IF(OR(D43="",F43="",G43=""),"",IF(F43+MAX(0,10-G43)&lt;=1,D43,D43*(1+(F43+MAX(0,10-G43))/30)))</f>
        <v/>
      </c>
      <c r="J43" s="16" t="str">
        <f aca="false">IF(A43="","",IF(AND(C43="yes",N(G43)&gt;=7),N(E43),0))</f>
        <v/>
      </c>
      <c r="K43" s="17" t="str">
        <f aca="false">IF(A43="","",A43-WEEKDAY(A43,3))</f>
        <v/>
      </c>
      <c r="L43" s="11"/>
    </row>
    <row r="44" customFormat="false" ht="15" hidden="false" customHeight="false" outlineLevel="0" collapsed="false">
      <c r="A44" s="10"/>
      <c r="B44" s="11"/>
      <c r="C44" s="11"/>
      <c r="D44" s="11"/>
      <c r="E44" s="11"/>
      <c r="F44" s="11"/>
      <c r="G44" s="11"/>
      <c r="H44" s="15" t="str">
        <f aca="false">IF(OR(D44="",F44=""),"",IF(F44&lt;=1,D44,D44*(1+F44/30)))</f>
        <v/>
      </c>
      <c r="I44" s="15" t="str">
        <f aca="false">IF(OR(D44="",F44="",G44=""),"",IF(F44+MAX(0,10-G44)&lt;=1,D44,D44*(1+(F44+MAX(0,10-G44))/30)))</f>
        <v/>
      </c>
      <c r="J44" s="16" t="str">
        <f aca="false">IF(A44="","",IF(AND(C44="yes",N(G44)&gt;=7),N(E44),0))</f>
        <v/>
      </c>
      <c r="K44" s="17" t="str">
        <f aca="false">IF(A44="","",A44-WEEKDAY(A44,3))</f>
        <v/>
      </c>
      <c r="L44" s="11"/>
    </row>
    <row r="45" customFormat="false" ht="15" hidden="false" customHeight="false" outlineLevel="0" collapsed="false">
      <c r="A45" s="10"/>
      <c r="B45" s="11"/>
      <c r="C45" s="11"/>
      <c r="D45" s="11"/>
      <c r="E45" s="11"/>
      <c r="F45" s="11"/>
      <c r="G45" s="11"/>
      <c r="H45" s="15" t="str">
        <f aca="false">IF(OR(D45="",F45=""),"",IF(F45&lt;=1,D45,D45*(1+F45/30)))</f>
        <v/>
      </c>
      <c r="I45" s="15" t="str">
        <f aca="false">IF(OR(D45="",F45="",G45=""),"",IF(F45+MAX(0,10-G45)&lt;=1,D45,D45*(1+(F45+MAX(0,10-G45))/30)))</f>
        <v/>
      </c>
      <c r="J45" s="16" t="str">
        <f aca="false">IF(A45="","",IF(AND(C45="yes",N(G45)&gt;=7),N(E45),0))</f>
        <v/>
      </c>
      <c r="K45" s="17" t="str">
        <f aca="false">IF(A45="","",A45-WEEKDAY(A45,3))</f>
        <v/>
      </c>
      <c r="L45" s="11"/>
    </row>
    <row r="46" customFormat="false" ht="15" hidden="false" customHeight="false" outlineLevel="0" collapsed="false">
      <c r="A46" s="10"/>
      <c r="B46" s="11"/>
      <c r="C46" s="11"/>
      <c r="D46" s="11"/>
      <c r="E46" s="11"/>
      <c r="F46" s="11"/>
      <c r="G46" s="11"/>
      <c r="H46" s="15" t="str">
        <f aca="false">IF(OR(D46="",F46=""),"",IF(F46&lt;=1,D46,D46*(1+F46/30)))</f>
        <v/>
      </c>
      <c r="I46" s="15" t="str">
        <f aca="false">IF(OR(D46="",F46="",G46=""),"",IF(F46+MAX(0,10-G46)&lt;=1,D46,D46*(1+(F46+MAX(0,10-G46))/30)))</f>
        <v/>
      </c>
      <c r="J46" s="16" t="str">
        <f aca="false">IF(A46="","",IF(AND(C46="yes",N(G46)&gt;=7),N(E46),0))</f>
        <v/>
      </c>
      <c r="K46" s="17" t="str">
        <f aca="false">IF(A46="","",A46-WEEKDAY(A46,3))</f>
        <v/>
      </c>
      <c r="L46" s="11"/>
    </row>
    <row r="47" customFormat="false" ht="15" hidden="false" customHeight="false" outlineLevel="0" collapsed="false">
      <c r="A47" s="10"/>
      <c r="B47" s="11"/>
      <c r="C47" s="11"/>
      <c r="D47" s="11"/>
      <c r="E47" s="11"/>
      <c r="F47" s="11"/>
      <c r="G47" s="11"/>
      <c r="H47" s="15" t="str">
        <f aca="false">IF(OR(D47="",F47=""),"",IF(F47&lt;=1,D47,D47*(1+F47/30)))</f>
        <v/>
      </c>
      <c r="I47" s="15" t="str">
        <f aca="false">IF(OR(D47="",F47="",G47=""),"",IF(F47+MAX(0,10-G47)&lt;=1,D47,D47*(1+(F47+MAX(0,10-G47))/30)))</f>
        <v/>
      </c>
      <c r="J47" s="16" t="str">
        <f aca="false">IF(A47="","",IF(AND(C47="yes",N(G47)&gt;=7),N(E47),0))</f>
        <v/>
      </c>
      <c r="K47" s="17" t="str">
        <f aca="false">IF(A47="","",A47-WEEKDAY(A47,3))</f>
        <v/>
      </c>
      <c r="L47" s="11"/>
    </row>
    <row r="48" customFormat="false" ht="15" hidden="false" customHeight="false" outlineLevel="0" collapsed="false">
      <c r="A48" s="10"/>
      <c r="B48" s="11"/>
      <c r="C48" s="11"/>
      <c r="D48" s="11"/>
      <c r="E48" s="11"/>
      <c r="F48" s="11"/>
      <c r="G48" s="11"/>
      <c r="H48" s="15" t="str">
        <f aca="false">IF(OR(D48="",F48=""),"",IF(F48&lt;=1,D48,D48*(1+F48/30)))</f>
        <v/>
      </c>
      <c r="I48" s="15" t="str">
        <f aca="false">IF(OR(D48="",F48="",G48=""),"",IF(F48+MAX(0,10-G48)&lt;=1,D48,D48*(1+(F48+MAX(0,10-G48))/30)))</f>
        <v/>
      </c>
      <c r="J48" s="16" t="str">
        <f aca="false">IF(A48="","",IF(AND(C48="yes",N(G48)&gt;=7),N(E48),0))</f>
        <v/>
      </c>
      <c r="K48" s="17" t="str">
        <f aca="false">IF(A48="","",A48-WEEKDAY(A48,3))</f>
        <v/>
      </c>
      <c r="L48" s="11"/>
    </row>
    <row r="49" customFormat="false" ht="15" hidden="false" customHeight="false" outlineLevel="0" collapsed="false">
      <c r="A49" s="10"/>
      <c r="B49" s="11"/>
      <c r="C49" s="11"/>
      <c r="D49" s="11"/>
      <c r="E49" s="11"/>
      <c r="F49" s="11"/>
      <c r="G49" s="11"/>
      <c r="H49" s="15" t="str">
        <f aca="false">IF(OR(D49="",F49=""),"",IF(F49&lt;=1,D49,D49*(1+F49/30)))</f>
        <v/>
      </c>
      <c r="I49" s="15" t="str">
        <f aca="false">IF(OR(D49="",F49="",G49=""),"",IF(F49+MAX(0,10-G49)&lt;=1,D49,D49*(1+(F49+MAX(0,10-G49))/30)))</f>
        <v/>
      </c>
      <c r="J49" s="16" t="str">
        <f aca="false">IF(A49="","",IF(AND(C49="yes",N(G49)&gt;=7),N(E49),0))</f>
        <v/>
      </c>
      <c r="K49" s="17" t="str">
        <f aca="false">IF(A49="","",A49-WEEKDAY(A49,3))</f>
        <v/>
      </c>
      <c r="L49" s="11"/>
    </row>
    <row r="50" customFormat="false" ht="15" hidden="false" customHeight="false" outlineLevel="0" collapsed="false">
      <c r="A50" s="10"/>
      <c r="B50" s="11"/>
      <c r="C50" s="11"/>
      <c r="D50" s="11"/>
      <c r="E50" s="11"/>
      <c r="F50" s="11"/>
      <c r="G50" s="11"/>
      <c r="H50" s="15" t="str">
        <f aca="false">IF(OR(D50="",F50=""),"",IF(F50&lt;=1,D50,D50*(1+F50/30)))</f>
        <v/>
      </c>
      <c r="I50" s="15" t="str">
        <f aca="false">IF(OR(D50="",F50="",G50=""),"",IF(F50+MAX(0,10-G50)&lt;=1,D50,D50*(1+(F50+MAX(0,10-G50))/30)))</f>
        <v/>
      </c>
      <c r="J50" s="16" t="str">
        <f aca="false">IF(A50="","",IF(AND(C50="yes",N(G50)&gt;=7),N(E50),0))</f>
        <v/>
      </c>
      <c r="K50" s="17" t="str">
        <f aca="false">IF(A50="","",A50-WEEKDAY(A50,3))</f>
        <v/>
      </c>
      <c r="L50" s="11"/>
    </row>
    <row r="51" customFormat="false" ht="15" hidden="false" customHeight="false" outlineLevel="0" collapsed="false">
      <c r="A51" s="10"/>
      <c r="B51" s="11"/>
      <c r="C51" s="11"/>
      <c r="D51" s="11"/>
      <c r="E51" s="11"/>
      <c r="F51" s="11"/>
      <c r="G51" s="11"/>
      <c r="H51" s="15" t="str">
        <f aca="false">IF(OR(D51="",F51=""),"",IF(F51&lt;=1,D51,D51*(1+F51/30)))</f>
        <v/>
      </c>
      <c r="I51" s="15" t="str">
        <f aca="false">IF(OR(D51="",F51="",G51=""),"",IF(F51+MAX(0,10-G51)&lt;=1,D51,D51*(1+(F51+MAX(0,10-G51))/30)))</f>
        <v/>
      </c>
      <c r="J51" s="16" t="str">
        <f aca="false">IF(A51="","",IF(AND(C51="yes",N(G51)&gt;=7),N(E51),0))</f>
        <v/>
      </c>
      <c r="K51" s="17" t="str">
        <f aca="false">IF(A51="","",A51-WEEKDAY(A51,3))</f>
        <v/>
      </c>
      <c r="L51" s="11"/>
    </row>
    <row r="52" customFormat="false" ht="15" hidden="false" customHeight="false" outlineLevel="0" collapsed="false">
      <c r="A52" s="10"/>
      <c r="B52" s="11"/>
      <c r="C52" s="11"/>
      <c r="D52" s="11"/>
      <c r="E52" s="11"/>
      <c r="F52" s="11"/>
      <c r="G52" s="11"/>
      <c r="H52" s="15" t="str">
        <f aca="false">IF(OR(D52="",F52=""),"",IF(F52&lt;=1,D52,D52*(1+F52/30)))</f>
        <v/>
      </c>
      <c r="I52" s="15" t="str">
        <f aca="false">IF(OR(D52="",F52="",G52=""),"",IF(F52+MAX(0,10-G52)&lt;=1,D52,D52*(1+(F52+MAX(0,10-G52))/30)))</f>
        <v/>
      </c>
      <c r="J52" s="16" t="str">
        <f aca="false">IF(A52="","",IF(AND(C52="yes",N(G52)&gt;=7),N(E52),0))</f>
        <v/>
      </c>
      <c r="K52" s="17" t="str">
        <f aca="false">IF(A52="","",A52-WEEKDAY(A52,3))</f>
        <v/>
      </c>
      <c r="L52" s="11"/>
    </row>
    <row r="53" customFormat="false" ht="15" hidden="false" customHeight="false" outlineLevel="0" collapsed="false">
      <c r="A53" s="10"/>
      <c r="B53" s="11"/>
      <c r="C53" s="11"/>
      <c r="D53" s="11"/>
      <c r="E53" s="11"/>
      <c r="F53" s="11"/>
      <c r="G53" s="11"/>
      <c r="H53" s="15" t="str">
        <f aca="false">IF(OR(D53="",F53=""),"",IF(F53&lt;=1,D53,D53*(1+F53/30)))</f>
        <v/>
      </c>
      <c r="I53" s="15" t="str">
        <f aca="false">IF(OR(D53="",F53="",G53=""),"",IF(F53+MAX(0,10-G53)&lt;=1,D53,D53*(1+(F53+MAX(0,10-G53))/30)))</f>
        <v/>
      </c>
      <c r="J53" s="16" t="str">
        <f aca="false">IF(A53="","",IF(AND(C53="yes",N(G53)&gt;=7),N(E53),0))</f>
        <v/>
      </c>
      <c r="K53" s="17" t="str">
        <f aca="false">IF(A53="","",A53-WEEKDAY(A53,3))</f>
        <v/>
      </c>
      <c r="L53" s="11"/>
    </row>
    <row r="54" customFormat="false" ht="15" hidden="false" customHeight="false" outlineLevel="0" collapsed="false">
      <c r="A54" s="10"/>
      <c r="B54" s="11"/>
      <c r="C54" s="11"/>
      <c r="D54" s="11"/>
      <c r="E54" s="11"/>
      <c r="F54" s="11"/>
      <c r="G54" s="11"/>
      <c r="H54" s="15" t="str">
        <f aca="false">IF(OR(D54="",F54=""),"",IF(F54&lt;=1,D54,D54*(1+F54/30)))</f>
        <v/>
      </c>
      <c r="I54" s="15" t="str">
        <f aca="false">IF(OR(D54="",F54="",G54=""),"",IF(F54+MAX(0,10-G54)&lt;=1,D54,D54*(1+(F54+MAX(0,10-G54))/30)))</f>
        <v/>
      </c>
      <c r="J54" s="16" t="str">
        <f aca="false">IF(A54="","",IF(AND(C54="yes",N(G54)&gt;=7),N(E54),0))</f>
        <v/>
      </c>
      <c r="K54" s="17" t="str">
        <f aca="false">IF(A54="","",A54-WEEKDAY(A54,3))</f>
        <v/>
      </c>
      <c r="L54" s="11"/>
    </row>
    <row r="55" customFormat="false" ht="15" hidden="false" customHeight="false" outlineLevel="0" collapsed="false">
      <c r="A55" s="10"/>
      <c r="B55" s="11"/>
      <c r="C55" s="11"/>
      <c r="D55" s="11"/>
      <c r="E55" s="11"/>
      <c r="F55" s="11"/>
      <c r="G55" s="11"/>
      <c r="H55" s="15" t="str">
        <f aca="false">IF(OR(D55="",F55=""),"",IF(F55&lt;=1,D55,D55*(1+F55/30)))</f>
        <v/>
      </c>
      <c r="I55" s="15" t="str">
        <f aca="false">IF(OR(D55="",F55="",G55=""),"",IF(F55+MAX(0,10-G55)&lt;=1,D55,D55*(1+(F55+MAX(0,10-G55))/30)))</f>
        <v/>
      </c>
      <c r="J55" s="16" t="str">
        <f aca="false">IF(A55="","",IF(AND(C55="yes",N(G55)&gt;=7),N(E55),0))</f>
        <v/>
      </c>
      <c r="K55" s="17" t="str">
        <f aca="false">IF(A55="","",A55-WEEKDAY(A55,3))</f>
        <v/>
      </c>
      <c r="L55" s="11"/>
    </row>
    <row r="56" customFormat="false" ht="15" hidden="false" customHeight="false" outlineLevel="0" collapsed="false">
      <c r="A56" s="10"/>
      <c r="B56" s="11"/>
      <c r="C56" s="11"/>
      <c r="D56" s="11"/>
      <c r="E56" s="11"/>
      <c r="F56" s="11"/>
      <c r="G56" s="11"/>
      <c r="H56" s="15" t="str">
        <f aca="false">IF(OR(D56="",F56=""),"",IF(F56&lt;=1,D56,D56*(1+F56/30)))</f>
        <v/>
      </c>
      <c r="I56" s="15" t="str">
        <f aca="false">IF(OR(D56="",F56="",G56=""),"",IF(F56+MAX(0,10-G56)&lt;=1,D56,D56*(1+(F56+MAX(0,10-G56))/30)))</f>
        <v/>
      </c>
      <c r="J56" s="16" t="str">
        <f aca="false">IF(A56="","",IF(AND(C56="yes",N(G56)&gt;=7),N(E56),0))</f>
        <v/>
      </c>
      <c r="K56" s="17" t="str">
        <f aca="false">IF(A56="","",A56-WEEKDAY(A56,3))</f>
        <v/>
      </c>
      <c r="L56" s="11"/>
    </row>
    <row r="57" customFormat="false" ht="15" hidden="false" customHeight="false" outlineLevel="0" collapsed="false">
      <c r="A57" s="10"/>
      <c r="B57" s="11"/>
      <c r="C57" s="11"/>
      <c r="D57" s="11"/>
      <c r="E57" s="11"/>
      <c r="F57" s="11"/>
      <c r="G57" s="11"/>
      <c r="H57" s="15" t="str">
        <f aca="false">IF(OR(D57="",F57=""),"",IF(F57&lt;=1,D57,D57*(1+F57/30)))</f>
        <v/>
      </c>
      <c r="I57" s="15" t="str">
        <f aca="false">IF(OR(D57="",F57="",G57=""),"",IF(F57+MAX(0,10-G57)&lt;=1,D57,D57*(1+(F57+MAX(0,10-G57))/30)))</f>
        <v/>
      </c>
      <c r="J57" s="16" t="str">
        <f aca="false">IF(A57="","",IF(AND(C57="yes",N(G57)&gt;=7),N(E57),0))</f>
        <v/>
      </c>
      <c r="K57" s="17" t="str">
        <f aca="false">IF(A57="","",A57-WEEKDAY(A57,3))</f>
        <v/>
      </c>
      <c r="L57" s="11"/>
    </row>
    <row r="58" customFormat="false" ht="15" hidden="false" customHeight="false" outlineLevel="0" collapsed="false">
      <c r="A58" s="10"/>
      <c r="B58" s="11"/>
      <c r="C58" s="11"/>
      <c r="D58" s="11"/>
      <c r="E58" s="11"/>
      <c r="F58" s="11"/>
      <c r="G58" s="11"/>
      <c r="H58" s="15" t="str">
        <f aca="false">IF(OR(D58="",F58=""),"",IF(F58&lt;=1,D58,D58*(1+F58/30)))</f>
        <v/>
      </c>
      <c r="I58" s="15" t="str">
        <f aca="false">IF(OR(D58="",F58="",G58=""),"",IF(F58+MAX(0,10-G58)&lt;=1,D58,D58*(1+(F58+MAX(0,10-G58))/30)))</f>
        <v/>
      </c>
      <c r="J58" s="16" t="str">
        <f aca="false">IF(A58="","",IF(AND(C58="yes",N(G58)&gt;=7),N(E58),0))</f>
        <v/>
      </c>
      <c r="K58" s="17" t="str">
        <f aca="false">IF(A58="","",A58-WEEKDAY(A58,3))</f>
        <v/>
      </c>
      <c r="L58" s="11"/>
    </row>
    <row r="59" customFormat="false" ht="15" hidden="false" customHeight="false" outlineLevel="0" collapsed="false">
      <c r="A59" s="10"/>
      <c r="B59" s="11"/>
      <c r="C59" s="11"/>
      <c r="D59" s="11"/>
      <c r="E59" s="11"/>
      <c r="F59" s="11"/>
      <c r="G59" s="11"/>
      <c r="H59" s="15" t="str">
        <f aca="false">IF(OR(D59="",F59=""),"",IF(F59&lt;=1,D59,D59*(1+F59/30)))</f>
        <v/>
      </c>
      <c r="I59" s="15" t="str">
        <f aca="false">IF(OR(D59="",F59="",G59=""),"",IF(F59+MAX(0,10-G59)&lt;=1,D59,D59*(1+(F59+MAX(0,10-G59))/30)))</f>
        <v/>
      </c>
      <c r="J59" s="16" t="str">
        <f aca="false">IF(A59="","",IF(AND(C59="yes",N(G59)&gt;=7),N(E59),0))</f>
        <v/>
      </c>
      <c r="K59" s="17" t="str">
        <f aca="false">IF(A59="","",A59-WEEKDAY(A59,3))</f>
        <v/>
      </c>
      <c r="L59" s="11"/>
    </row>
    <row r="60" customFormat="false" ht="15" hidden="false" customHeight="false" outlineLevel="0" collapsed="false">
      <c r="A60" s="10"/>
      <c r="B60" s="11"/>
      <c r="C60" s="11"/>
      <c r="D60" s="11"/>
      <c r="E60" s="11"/>
      <c r="F60" s="11"/>
      <c r="G60" s="11"/>
      <c r="H60" s="15" t="str">
        <f aca="false">IF(OR(D60="",F60=""),"",IF(F60&lt;=1,D60,D60*(1+F60/30)))</f>
        <v/>
      </c>
      <c r="I60" s="15" t="str">
        <f aca="false">IF(OR(D60="",F60="",G60=""),"",IF(F60+MAX(0,10-G60)&lt;=1,D60,D60*(1+(F60+MAX(0,10-G60))/30)))</f>
        <v/>
      </c>
      <c r="J60" s="16" t="str">
        <f aca="false">IF(A60="","",IF(AND(C60="yes",N(G60)&gt;=7),N(E60),0))</f>
        <v/>
      </c>
      <c r="K60" s="17" t="str">
        <f aca="false">IF(A60="","",A60-WEEKDAY(A60,3))</f>
        <v/>
      </c>
      <c r="L60" s="11"/>
    </row>
    <row r="61" customFormat="false" ht="15" hidden="false" customHeight="false" outlineLevel="0" collapsed="false">
      <c r="A61" s="10"/>
      <c r="B61" s="11"/>
      <c r="C61" s="11"/>
      <c r="D61" s="11"/>
      <c r="E61" s="11"/>
      <c r="F61" s="11"/>
      <c r="G61" s="11"/>
      <c r="H61" s="15" t="str">
        <f aca="false">IF(OR(D61="",F61=""),"",IF(F61&lt;=1,D61,D61*(1+F61/30)))</f>
        <v/>
      </c>
      <c r="I61" s="15" t="str">
        <f aca="false">IF(OR(D61="",F61="",G61=""),"",IF(F61+MAX(0,10-G61)&lt;=1,D61,D61*(1+(F61+MAX(0,10-G61))/30)))</f>
        <v/>
      </c>
      <c r="J61" s="16" t="str">
        <f aca="false">IF(A61="","",IF(AND(C61="yes",N(G61)&gt;=7),N(E61),0))</f>
        <v/>
      </c>
      <c r="K61" s="17" t="str">
        <f aca="false">IF(A61="","",A61-WEEKDAY(A61,3))</f>
        <v/>
      </c>
      <c r="L61" s="11"/>
    </row>
    <row r="62" customFormat="false" ht="15" hidden="false" customHeight="false" outlineLevel="0" collapsed="false">
      <c r="A62" s="10"/>
      <c r="B62" s="11"/>
      <c r="C62" s="11"/>
      <c r="D62" s="11"/>
      <c r="E62" s="11"/>
      <c r="F62" s="11"/>
      <c r="G62" s="11"/>
      <c r="H62" s="15" t="str">
        <f aca="false">IF(OR(D62="",F62=""),"",IF(F62&lt;=1,D62,D62*(1+F62/30)))</f>
        <v/>
      </c>
      <c r="I62" s="15" t="str">
        <f aca="false">IF(OR(D62="",F62="",G62=""),"",IF(F62+MAX(0,10-G62)&lt;=1,D62,D62*(1+(F62+MAX(0,10-G62))/30)))</f>
        <v/>
      </c>
      <c r="J62" s="16" t="str">
        <f aca="false">IF(A62="","",IF(AND(C62="yes",N(G62)&gt;=7),N(E62),0))</f>
        <v/>
      </c>
      <c r="K62" s="17" t="str">
        <f aca="false">IF(A62="","",A62-WEEKDAY(A62,3))</f>
        <v/>
      </c>
      <c r="L62" s="11"/>
    </row>
    <row r="63" customFormat="false" ht="15" hidden="false" customHeight="false" outlineLevel="0" collapsed="false">
      <c r="A63" s="10"/>
      <c r="B63" s="11"/>
      <c r="C63" s="11"/>
      <c r="D63" s="11"/>
      <c r="E63" s="11"/>
      <c r="F63" s="11"/>
      <c r="G63" s="11"/>
      <c r="H63" s="15" t="str">
        <f aca="false">IF(OR(D63="",F63=""),"",IF(F63&lt;=1,D63,D63*(1+F63/30)))</f>
        <v/>
      </c>
      <c r="I63" s="15" t="str">
        <f aca="false">IF(OR(D63="",F63="",G63=""),"",IF(F63+MAX(0,10-G63)&lt;=1,D63,D63*(1+(F63+MAX(0,10-G63))/30)))</f>
        <v/>
      </c>
      <c r="J63" s="16" t="str">
        <f aca="false">IF(A63="","",IF(AND(C63="yes",N(G63)&gt;=7),N(E63),0))</f>
        <v/>
      </c>
      <c r="K63" s="17" t="str">
        <f aca="false">IF(A63="","",A63-WEEKDAY(A63,3))</f>
        <v/>
      </c>
      <c r="L63" s="11"/>
    </row>
    <row r="64" customFormat="false" ht="15" hidden="false" customHeight="false" outlineLevel="0" collapsed="false">
      <c r="A64" s="10"/>
      <c r="B64" s="11"/>
      <c r="C64" s="11"/>
      <c r="D64" s="11"/>
      <c r="E64" s="11"/>
      <c r="F64" s="11"/>
      <c r="G64" s="11"/>
      <c r="H64" s="15" t="str">
        <f aca="false">IF(OR(D64="",F64=""),"",IF(F64&lt;=1,D64,D64*(1+F64/30)))</f>
        <v/>
      </c>
      <c r="I64" s="15" t="str">
        <f aca="false">IF(OR(D64="",F64="",G64=""),"",IF(F64+MAX(0,10-G64)&lt;=1,D64,D64*(1+(F64+MAX(0,10-G64))/30)))</f>
        <v/>
      </c>
      <c r="J64" s="16" t="str">
        <f aca="false">IF(A64="","",IF(AND(C64="yes",N(G64)&gt;=7),N(E64),0))</f>
        <v/>
      </c>
      <c r="K64" s="17" t="str">
        <f aca="false">IF(A64="","",A64-WEEKDAY(A64,3))</f>
        <v/>
      </c>
      <c r="L64" s="11"/>
    </row>
    <row r="65" customFormat="false" ht="15" hidden="false" customHeight="false" outlineLevel="0" collapsed="false">
      <c r="A65" s="10"/>
      <c r="B65" s="11"/>
      <c r="C65" s="11"/>
      <c r="D65" s="11"/>
      <c r="E65" s="11"/>
      <c r="F65" s="11"/>
      <c r="G65" s="11"/>
      <c r="H65" s="15" t="str">
        <f aca="false">IF(OR(D65="",F65=""),"",IF(F65&lt;=1,D65,D65*(1+F65/30)))</f>
        <v/>
      </c>
      <c r="I65" s="15" t="str">
        <f aca="false">IF(OR(D65="",F65="",G65=""),"",IF(F65+MAX(0,10-G65)&lt;=1,D65,D65*(1+(F65+MAX(0,10-G65))/30)))</f>
        <v/>
      </c>
      <c r="J65" s="16" t="str">
        <f aca="false">IF(A65="","",IF(AND(C65="yes",N(G65)&gt;=7),N(E65),0))</f>
        <v/>
      </c>
      <c r="K65" s="17" t="str">
        <f aca="false">IF(A65="","",A65-WEEKDAY(A65,3))</f>
        <v/>
      </c>
      <c r="L65" s="11"/>
    </row>
    <row r="66" customFormat="false" ht="15" hidden="false" customHeight="false" outlineLevel="0" collapsed="false">
      <c r="A66" s="10"/>
      <c r="B66" s="11"/>
      <c r="C66" s="11"/>
      <c r="D66" s="11"/>
      <c r="E66" s="11"/>
      <c r="F66" s="11"/>
      <c r="G66" s="11"/>
      <c r="H66" s="15" t="str">
        <f aca="false">IF(OR(D66="",F66=""),"",IF(F66&lt;=1,D66,D66*(1+F66/30)))</f>
        <v/>
      </c>
      <c r="I66" s="15" t="str">
        <f aca="false">IF(OR(D66="",F66="",G66=""),"",IF(F66+MAX(0,10-G66)&lt;=1,D66,D66*(1+(F66+MAX(0,10-G66))/30)))</f>
        <v/>
      </c>
      <c r="J66" s="16" t="str">
        <f aca="false">IF(A66="","",IF(AND(C66="yes",N(G66)&gt;=7),N(E66),0))</f>
        <v/>
      </c>
      <c r="K66" s="17" t="str">
        <f aca="false">IF(A66="","",A66-WEEKDAY(A66,3))</f>
        <v/>
      </c>
      <c r="L66" s="11"/>
    </row>
    <row r="67" customFormat="false" ht="15" hidden="false" customHeight="false" outlineLevel="0" collapsed="false">
      <c r="A67" s="10"/>
      <c r="B67" s="11"/>
      <c r="C67" s="11"/>
      <c r="D67" s="11"/>
      <c r="E67" s="11"/>
      <c r="F67" s="11"/>
      <c r="G67" s="11"/>
      <c r="H67" s="15" t="str">
        <f aca="false">IF(OR(D67="",F67=""),"",IF(F67&lt;=1,D67,D67*(1+F67/30)))</f>
        <v/>
      </c>
      <c r="I67" s="15" t="str">
        <f aca="false">IF(OR(D67="",F67="",G67=""),"",IF(F67+MAX(0,10-G67)&lt;=1,D67,D67*(1+(F67+MAX(0,10-G67))/30)))</f>
        <v/>
      </c>
      <c r="J67" s="16" t="str">
        <f aca="false">IF(A67="","",IF(AND(C67="yes",N(G67)&gt;=7),N(E67),0))</f>
        <v/>
      </c>
      <c r="K67" s="17" t="str">
        <f aca="false">IF(A67="","",A67-WEEKDAY(A67,3))</f>
        <v/>
      </c>
      <c r="L67" s="11"/>
    </row>
    <row r="68" customFormat="false" ht="15" hidden="false" customHeight="false" outlineLevel="0" collapsed="false">
      <c r="A68" s="10"/>
      <c r="B68" s="11"/>
      <c r="C68" s="11"/>
      <c r="D68" s="11"/>
      <c r="E68" s="11"/>
      <c r="F68" s="11"/>
      <c r="G68" s="11"/>
      <c r="H68" s="15" t="str">
        <f aca="false">IF(OR(D68="",F68=""),"",IF(F68&lt;=1,D68,D68*(1+F68/30)))</f>
        <v/>
      </c>
      <c r="I68" s="15" t="str">
        <f aca="false">IF(OR(D68="",F68="",G68=""),"",IF(F68+MAX(0,10-G68)&lt;=1,D68,D68*(1+(F68+MAX(0,10-G68))/30)))</f>
        <v/>
      </c>
      <c r="J68" s="16" t="str">
        <f aca="false">IF(A68="","",IF(AND(C68="yes",N(G68)&gt;=7),N(E68),0))</f>
        <v/>
      </c>
      <c r="K68" s="17" t="str">
        <f aca="false">IF(A68="","",A68-WEEKDAY(A68,3))</f>
        <v/>
      </c>
      <c r="L68" s="11"/>
    </row>
    <row r="69" customFormat="false" ht="15" hidden="false" customHeight="false" outlineLevel="0" collapsed="false">
      <c r="A69" s="10"/>
      <c r="B69" s="11"/>
      <c r="C69" s="11"/>
      <c r="D69" s="11"/>
      <c r="E69" s="11"/>
      <c r="F69" s="11"/>
      <c r="G69" s="11"/>
      <c r="H69" s="15" t="str">
        <f aca="false">IF(OR(D69="",F69=""),"",IF(F69&lt;=1,D69,D69*(1+F69/30)))</f>
        <v/>
      </c>
      <c r="I69" s="15" t="str">
        <f aca="false">IF(OR(D69="",F69="",G69=""),"",IF(F69+MAX(0,10-G69)&lt;=1,D69,D69*(1+(F69+MAX(0,10-G69))/30)))</f>
        <v/>
      </c>
      <c r="J69" s="16" t="str">
        <f aca="false">IF(A69="","",IF(AND(C69="yes",N(G69)&gt;=7),N(E69),0))</f>
        <v/>
      </c>
      <c r="K69" s="17" t="str">
        <f aca="false">IF(A69="","",A69-WEEKDAY(A69,3))</f>
        <v/>
      </c>
      <c r="L69" s="11"/>
    </row>
    <row r="70" customFormat="false" ht="15" hidden="false" customHeight="false" outlineLevel="0" collapsed="false">
      <c r="A70" s="10"/>
      <c r="B70" s="11"/>
      <c r="C70" s="11"/>
      <c r="D70" s="11"/>
      <c r="E70" s="11"/>
      <c r="F70" s="11"/>
      <c r="G70" s="11"/>
      <c r="H70" s="15" t="str">
        <f aca="false">IF(OR(D70="",F70=""),"",IF(F70&lt;=1,D70,D70*(1+F70/30)))</f>
        <v/>
      </c>
      <c r="I70" s="15" t="str">
        <f aca="false">IF(OR(D70="",F70="",G70=""),"",IF(F70+MAX(0,10-G70)&lt;=1,D70,D70*(1+(F70+MAX(0,10-G70))/30)))</f>
        <v/>
      </c>
      <c r="J70" s="16" t="str">
        <f aca="false">IF(A70="","",IF(AND(C70="yes",N(G70)&gt;=7),N(E70),0))</f>
        <v/>
      </c>
      <c r="K70" s="17" t="str">
        <f aca="false">IF(A70="","",A70-WEEKDAY(A70,3))</f>
        <v/>
      </c>
      <c r="L70" s="11"/>
    </row>
    <row r="71" customFormat="false" ht="15" hidden="false" customHeight="false" outlineLevel="0" collapsed="false">
      <c r="A71" s="10"/>
      <c r="B71" s="11"/>
      <c r="C71" s="11"/>
      <c r="D71" s="11"/>
      <c r="E71" s="11"/>
      <c r="F71" s="11"/>
      <c r="G71" s="11"/>
      <c r="H71" s="15" t="str">
        <f aca="false">IF(OR(D71="",F71=""),"",IF(F71&lt;=1,D71,D71*(1+F71/30)))</f>
        <v/>
      </c>
      <c r="I71" s="15" t="str">
        <f aca="false">IF(OR(D71="",F71="",G71=""),"",IF(F71+MAX(0,10-G71)&lt;=1,D71,D71*(1+(F71+MAX(0,10-G71))/30)))</f>
        <v/>
      </c>
      <c r="J71" s="16" t="str">
        <f aca="false">IF(A71="","",IF(AND(C71="yes",N(G71)&gt;=7),N(E71),0))</f>
        <v/>
      </c>
      <c r="K71" s="17" t="str">
        <f aca="false">IF(A71="","",A71-WEEKDAY(A71,3))</f>
        <v/>
      </c>
      <c r="L71" s="11"/>
    </row>
    <row r="72" customFormat="false" ht="15" hidden="false" customHeight="false" outlineLevel="0" collapsed="false">
      <c r="A72" s="10"/>
      <c r="B72" s="11"/>
      <c r="C72" s="11"/>
      <c r="D72" s="11"/>
      <c r="E72" s="11"/>
      <c r="F72" s="11"/>
      <c r="G72" s="11"/>
      <c r="H72" s="15" t="str">
        <f aca="false">IF(OR(D72="",F72=""),"",IF(F72&lt;=1,D72,D72*(1+F72/30)))</f>
        <v/>
      </c>
      <c r="I72" s="15" t="str">
        <f aca="false">IF(OR(D72="",F72="",G72=""),"",IF(F72+MAX(0,10-G72)&lt;=1,D72,D72*(1+(F72+MAX(0,10-G72))/30)))</f>
        <v/>
      </c>
      <c r="J72" s="16" t="str">
        <f aca="false">IF(A72="","",IF(AND(C72="yes",N(G72)&gt;=7),N(E72),0))</f>
        <v/>
      </c>
      <c r="K72" s="17" t="str">
        <f aca="false">IF(A72="","",A72-WEEKDAY(A72,3))</f>
        <v/>
      </c>
      <c r="L72" s="11"/>
    </row>
    <row r="73" customFormat="false" ht="15" hidden="false" customHeight="false" outlineLevel="0" collapsed="false">
      <c r="A73" s="10"/>
      <c r="B73" s="11"/>
      <c r="C73" s="11"/>
      <c r="D73" s="11"/>
      <c r="E73" s="11"/>
      <c r="F73" s="11"/>
      <c r="G73" s="11"/>
      <c r="H73" s="15" t="str">
        <f aca="false">IF(OR(D73="",F73=""),"",IF(F73&lt;=1,D73,D73*(1+F73/30)))</f>
        <v/>
      </c>
      <c r="I73" s="15" t="str">
        <f aca="false">IF(OR(D73="",F73="",G73=""),"",IF(F73+MAX(0,10-G73)&lt;=1,D73,D73*(1+(F73+MAX(0,10-G73))/30)))</f>
        <v/>
      </c>
      <c r="J73" s="16" t="str">
        <f aca="false">IF(A73="","",IF(AND(C73="yes",N(G73)&gt;=7),N(E73),0))</f>
        <v/>
      </c>
      <c r="K73" s="17" t="str">
        <f aca="false">IF(A73="","",A73-WEEKDAY(A73,3))</f>
        <v/>
      </c>
      <c r="L73" s="11"/>
    </row>
    <row r="74" customFormat="false" ht="15" hidden="false" customHeight="false" outlineLevel="0" collapsed="false">
      <c r="A74" s="10"/>
      <c r="B74" s="11"/>
      <c r="C74" s="11"/>
      <c r="D74" s="11"/>
      <c r="E74" s="11"/>
      <c r="F74" s="11"/>
      <c r="G74" s="11"/>
      <c r="H74" s="15" t="str">
        <f aca="false">IF(OR(D74="",F74=""),"",IF(F74&lt;=1,D74,D74*(1+F74/30)))</f>
        <v/>
      </c>
      <c r="I74" s="15" t="str">
        <f aca="false">IF(OR(D74="",F74="",G74=""),"",IF(F74+MAX(0,10-G74)&lt;=1,D74,D74*(1+(F74+MAX(0,10-G74))/30)))</f>
        <v/>
      </c>
      <c r="J74" s="16" t="str">
        <f aca="false">IF(A74="","",IF(AND(C74="yes",N(G74)&gt;=7),N(E74),0))</f>
        <v/>
      </c>
      <c r="K74" s="17" t="str">
        <f aca="false">IF(A74="","",A74-WEEKDAY(A74,3))</f>
        <v/>
      </c>
      <c r="L74" s="11"/>
    </row>
    <row r="75" customFormat="false" ht="15" hidden="false" customHeight="false" outlineLevel="0" collapsed="false">
      <c r="A75" s="10"/>
      <c r="B75" s="11"/>
      <c r="C75" s="11"/>
      <c r="D75" s="11"/>
      <c r="E75" s="11"/>
      <c r="F75" s="11"/>
      <c r="G75" s="11"/>
      <c r="H75" s="15" t="str">
        <f aca="false">IF(OR(D75="",F75=""),"",IF(F75&lt;=1,D75,D75*(1+F75/30)))</f>
        <v/>
      </c>
      <c r="I75" s="15" t="str">
        <f aca="false">IF(OR(D75="",F75="",G75=""),"",IF(F75+MAX(0,10-G75)&lt;=1,D75,D75*(1+(F75+MAX(0,10-G75))/30)))</f>
        <v/>
      </c>
      <c r="J75" s="16" t="str">
        <f aca="false">IF(A75="","",IF(AND(C75="yes",N(G75)&gt;=7),N(E75),0))</f>
        <v/>
      </c>
      <c r="K75" s="17" t="str">
        <f aca="false">IF(A75="","",A75-WEEKDAY(A75,3))</f>
        <v/>
      </c>
      <c r="L75" s="11"/>
    </row>
    <row r="76" customFormat="false" ht="15" hidden="false" customHeight="false" outlineLevel="0" collapsed="false">
      <c r="A76" s="10"/>
      <c r="B76" s="11"/>
      <c r="C76" s="11"/>
      <c r="D76" s="11"/>
      <c r="E76" s="11"/>
      <c r="F76" s="11"/>
      <c r="G76" s="11"/>
      <c r="H76" s="15" t="str">
        <f aca="false">IF(OR(D76="",F76=""),"",IF(F76&lt;=1,D76,D76*(1+F76/30)))</f>
        <v/>
      </c>
      <c r="I76" s="15" t="str">
        <f aca="false">IF(OR(D76="",F76="",G76=""),"",IF(F76+MAX(0,10-G76)&lt;=1,D76,D76*(1+(F76+MAX(0,10-G76))/30)))</f>
        <v/>
      </c>
      <c r="J76" s="16" t="str">
        <f aca="false">IF(A76="","",IF(AND(C76="yes",N(G76)&gt;=7),N(E76),0))</f>
        <v/>
      </c>
      <c r="K76" s="17" t="str">
        <f aca="false">IF(A76="","",A76-WEEKDAY(A76,3))</f>
        <v/>
      </c>
      <c r="L76" s="11"/>
    </row>
    <row r="77" customFormat="false" ht="15" hidden="false" customHeight="false" outlineLevel="0" collapsed="false">
      <c r="A77" s="10"/>
      <c r="B77" s="11"/>
      <c r="C77" s="11"/>
      <c r="D77" s="11"/>
      <c r="E77" s="11"/>
      <c r="F77" s="11"/>
      <c r="G77" s="11"/>
      <c r="H77" s="15" t="str">
        <f aca="false">IF(OR(D77="",F77=""),"",IF(F77&lt;=1,D77,D77*(1+F77/30)))</f>
        <v/>
      </c>
      <c r="I77" s="15" t="str">
        <f aca="false">IF(OR(D77="",F77="",G77=""),"",IF(F77+MAX(0,10-G77)&lt;=1,D77,D77*(1+(F77+MAX(0,10-G77))/30)))</f>
        <v/>
      </c>
      <c r="J77" s="16" t="str">
        <f aca="false">IF(A77="","",IF(AND(C77="yes",N(G77)&gt;=7),N(E77),0))</f>
        <v/>
      </c>
      <c r="K77" s="17" t="str">
        <f aca="false">IF(A77="","",A77-WEEKDAY(A77,3))</f>
        <v/>
      </c>
      <c r="L77" s="11"/>
    </row>
    <row r="78" customFormat="false" ht="15" hidden="false" customHeight="false" outlineLevel="0" collapsed="false">
      <c r="A78" s="10"/>
      <c r="B78" s="11"/>
      <c r="C78" s="11"/>
      <c r="D78" s="11"/>
      <c r="E78" s="11"/>
      <c r="F78" s="11"/>
      <c r="G78" s="11"/>
      <c r="H78" s="15" t="str">
        <f aca="false">IF(OR(D78="",F78=""),"",IF(F78&lt;=1,D78,D78*(1+F78/30)))</f>
        <v/>
      </c>
      <c r="I78" s="15" t="str">
        <f aca="false">IF(OR(D78="",F78="",G78=""),"",IF(F78+MAX(0,10-G78)&lt;=1,D78,D78*(1+(F78+MAX(0,10-G78))/30)))</f>
        <v/>
      </c>
      <c r="J78" s="16" t="str">
        <f aca="false">IF(A78="","",IF(AND(C78="yes",N(G78)&gt;=7),N(E78),0))</f>
        <v/>
      </c>
      <c r="K78" s="17" t="str">
        <f aca="false">IF(A78="","",A78-WEEKDAY(A78,3))</f>
        <v/>
      </c>
      <c r="L78" s="11"/>
    </row>
    <row r="79" customFormat="false" ht="15" hidden="false" customHeight="false" outlineLevel="0" collapsed="false">
      <c r="A79" s="10"/>
      <c r="B79" s="11"/>
      <c r="C79" s="11"/>
      <c r="D79" s="11"/>
      <c r="E79" s="11"/>
      <c r="F79" s="11"/>
      <c r="G79" s="11"/>
      <c r="H79" s="15" t="str">
        <f aca="false">IF(OR(D79="",F79=""),"",IF(F79&lt;=1,D79,D79*(1+F79/30)))</f>
        <v/>
      </c>
      <c r="I79" s="15" t="str">
        <f aca="false">IF(OR(D79="",F79="",G79=""),"",IF(F79+MAX(0,10-G79)&lt;=1,D79,D79*(1+(F79+MAX(0,10-G79))/30)))</f>
        <v/>
      </c>
      <c r="J79" s="16" t="str">
        <f aca="false">IF(A79="","",IF(AND(C79="yes",N(G79)&gt;=7),N(E79),0))</f>
        <v/>
      </c>
      <c r="K79" s="17" t="str">
        <f aca="false">IF(A79="","",A79-WEEKDAY(A79,3))</f>
        <v/>
      </c>
      <c r="L79" s="11"/>
    </row>
    <row r="80" customFormat="false" ht="15" hidden="false" customHeight="false" outlineLevel="0" collapsed="false">
      <c r="A80" s="10"/>
      <c r="B80" s="11"/>
      <c r="C80" s="11"/>
      <c r="D80" s="11"/>
      <c r="E80" s="11"/>
      <c r="F80" s="11"/>
      <c r="G80" s="11"/>
      <c r="H80" s="15" t="str">
        <f aca="false">IF(OR(D80="",F80=""),"",IF(F80&lt;=1,D80,D80*(1+F80/30)))</f>
        <v/>
      </c>
      <c r="I80" s="15" t="str">
        <f aca="false">IF(OR(D80="",F80="",G80=""),"",IF(F80+MAX(0,10-G80)&lt;=1,D80,D80*(1+(F80+MAX(0,10-G80))/30)))</f>
        <v/>
      </c>
      <c r="J80" s="16" t="str">
        <f aca="false">IF(A80="","",IF(AND(C80="yes",N(G80)&gt;=7),N(E80),0))</f>
        <v/>
      </c>
      <c r="K80" s="17" t="str">
        <f aca="false">IF(A80="","",A80-WEEKDAY(A80,3))</f>
        <v/>
      </c>
      <c r="L80" s="11"/>
    </row>
    <row r="81" customFormat="false" ht="15" hidden="false" customHeight="false" outlineLevel="0" collapsed="false">
      <c r="A81" s="10"/>
      <c r="B81" s="11"/>
      <c r="C81" s="11"/>
      <c r="D81" s="11"/>
      <c r="E81" s="11"/>
      <c r="F81" s="11"/>
      <c r="G81" s="11"/>
      <c r="H81" s="15" t="str">
        <f aca="false">IF(OR(D81="",F81=""),"",IF(F81&lt;=1,D81,D81*(1+F81/30)))</f>
        <v/>
      </c>
      <c r="I81" s="15" t="str">
        <f aca="false">IF(OR(D81="",F81="",G81=""),"",IF(F81+MAX(0,10-G81)&lt;=1,D81,D81*(1+(F81+MAX(0,10-G81))/30)))</f>
        <v/>
      </c>
      <c r="J81" s="16" t="str">
        <f aca="false">IF(A81="","",IF(AND(C81="yes",N(G81)&gt;=7),N(E81),0))</f>
        <v/>
      </c>
      <c r="K81" s="17" t="str">
        <f aca="false">IF(A81="","",A81-WEEKDAY(A81,3))</f>
        <v/>
      </c>
      <c r="L81" s="11"/>
    </row>
    <row r="82" customFormat="false" ht="15" hidden="false" customHeight="false" outlineLevel="0" collapsed="false">
      <c r="A82" s="10"/>
      <c r="B82" s="11"/>
      <c r="C82" s="11"/>
      <c r="D82" s="11"/>
      <c r="E82" s="11"/>
      <c r="F82" s="11"/>
      <c r="G82" s="11"/>
      <c r="H82" s="15" t="str">
        <f aca="false">IF(OR(D82="",F82=""),"",IF(F82&lt;=1,D82,D82*(1+F82/30)))</f>
        <v/>
      </c>
      <c r="I82" s="15" t="str">
        <f aca="false">IF(OR(D82="",F82="",G82=""),"",IF(F82+MAX(0,10-G82)&lt;=1,D82,D82*(1+(F82+MAX(0,10-G82))/30)))</f>
        <v/>
      </c>
      <c r="J82" s="16" t="str">
        <f aca="false">IF(A82="","",IF(AND(C82="yes",N(G82)&gt;=7),N(E82),0))</f>
        <v/>
      </c>
      <c r="K82" s="17" t="str">
        <f aca="false">IF(A82="","",A82-WEEKDAY(A82,3))</f>
        <v/>
      </c>
      <c r="L82" s="11"/>
    </row>
    <row r="83" customFormat="false" ht="15" hidden="false" customHeight="false" outlineLevel="0" collapsed="false">
      <c r="A83" s="10"/>
      <c r="B83" s="11"/>
      <c r="C83" s="11"/>
      <c r="D83" s="11"/>
      <c r="E83" s="11"/>
      <c r="F83" s="11"/>
      <c r="G83" s="11"/>
      <c r="H83" s="15" t="str">
        <f aca="false">IF(OR(D83="",F83=""),"",IF(F83&lt;=1,D83,D83*(1+F83/30)))</f>
        <v/>
      </c>
      <c r="I83" s="15" t="str">
        <f aca="false">IF(OR(D83="",F83="",G83=""),"",IF(F83+MAX(0,10-G83)&lt;=1,D83,D83*(1+(F83+MAX(0,10-G83))/30)))</f>
        <v/>
      </c>
      <c r="J83" s="16" t="str">
        <f aca="false">IF(A83="","",IF(AND(C83="yes",N(G83)&gt;=7),N(E83),0))</f>
        <v/>
      </c>
      <c r="K83" s="17" t="str">
        <f aca="false">IF(A83="","",A83-WEEKDAY(A83,3))</f>
        <v/>
      </c>
      <c r="L83" s="11"/>
    </row>
    <row r="84" customFormat="false" ht="15" hidden="false" customHeight="false" outlineLevel="0" collapsed="false">
      <c r="A84" s="10"/>
      <c r="B84" s="11"/>
      <c r="C84" s="11"/>
      <c r="D84" s="11"/>
      <c r="E84" s="11"/>
      <c r="F84" s="11"/>
      <c r="G84" s="11"/>
      <c r="H84" s="15" t="str">
        <f aca="false">IF(OR(D84="",F84=""),"",IF(F84&lt;=1,D84,D84*(1+F84/30)))</f>
        <v/>
      </c>
      <c r="I84" s="15" t="str">
        <f aca="false">IF(OR(D84="",F84="",G84=""),"",IF(F84+MAX(0,10-G84)&lt;=1,D84,D84*(1+(F84+MAX(0,10-G84))/30)))</f>
        <v/>
      </c>
      <c r="J84" s="16" t="str">
        <f aca="false">IF(A84="","",IF(AND(C84="yes",N(G84)&gt;=7),N(E84),0))</f>
        <v/>
      </c>
      <c r="K84" s="17" t="str">
        <f aca="false">IF(A84="","",A84-WEEKDAY(A84,3))</f>
        <v/>
      </c>
      <c r="L84" s="11"/>
    </row>
    <row r="85" customFormat="false" ht="15" hidden="false" customHeight="false" outlineLevel="0" collapsed="false">
      <c r="A85" s="10"/>
      <c r="B85" s="11"/>
      <c r="C85" s="11"/>
      <c r="D85" s="11"/>
      <c r="E85" s="11"/>
      <c r="F85" s="11"/>
      <c r="G85" s="11"/>
      <c r="H85" s="15" t="str">
        <f aca="false">IF(OR(D85="",F85=""),"",IF(F85&lt;=1,D85,D85*(1+F85/30)))</f>
        <v/>
      </c>
      <c r="I85" s="15" t="str">
        <f aca="false">IF(OR(D85="",F85="",G85=""),"",IF(F85+MAX(0,10-G85)&lt;=1,D85,D85*(1+(F85+MAX(0,10-G85))/30)))</f>
        <v/>
      </c>
      <c r="J85" s="16" t="str">
        <f aca="false">IF(A85="","",IF(AND(C85="yes",N(G85)&gt;=7),N(E85),0))</f>
        <v/>
      </c>
      <c r="K85" s="17" t="str">
        <f aca="false">IF(A85="","",A85-WEEKDAY(A85,3))</f>
        <v/>
      </c>
      <c r="L85" s="11"/>
    </row>
    <row r="86" customFormat="false" ht="15" hidden="false" customHeight="false" outlineLevel="0" collapsed="false">
      <c r="A86" s="10"/>
      <c r="B86" s="11"/>
      <c r="C86" s="11"/>
      <c r="D86" s="11"/>
      <c r="E86" s="11"/>
      <c r="F86" s="11"/>
      <c r="G86" s="11"/>
      <c r="H86" s="15" t="str">
        <f aca="false">IF(OR(D86="",F86=""),"",IF(F86&lt;=1,D86,D86*(1+F86/30)))</f>
        <v/>
      </c>
      <c r="I86" s="15" t="str">
        <f aca="false">IF(OR(D86="",F86="",G86=""),"",IF(F86+MAX(0,10-G86)&lt;=1,D86,D86*(1+(F86+MAX(0,10-G86))/30)))</f>
        <v/>
      </c>
      <c r="J86" s="16" t="str">
        <f aca="false">IF(A86="","",IF(AND(C86="yes",N(G86)&gt;=7),N(E86),0))</f>
        <v/>
      </c>
      <c r="K86" s="17" t="str">
        <f aca="false">IF(A86="","",A86-WEEKDAY(A86,3))</f>
        <v/>
      </c>
      <c r="L86" s="11"/>
    </row>
    <row r="87" customFormat="false" ht="15" hidden="false" customHeight="false" outlineLevel="0" collapsed="false">
      <c r="A87" s="10"/>
      <c r="B87" s="11"/>
      <c r="C87" s="11"/>
      <c r="D87" s="11"/>
      <c r="E87" s="11"/>
      <c r="F87" s="11"/>
      <c r="G87" s="11"/>
      <c r="H87" s="15" t="str">
        <f aca="false">IF(OR(D87="",F87=""),"",IF(F87&lt;=1,D87,D87*(1+F87/30)))</f>
        <v/>
      </c>
      <c r="I87" s="15" t="str">
        <f aca="false">IF(OR(D87="",F87="",G87=""),"",IF(F87+MAX(0,10-G87)&lt;=1,D87,D87*(1+(F87+MAX(0,10-G87))/30)))</f>
        <v/>
      </c>
      <c r="J87" s="16" t="str">
        <f aca="false">IF(A87="","",IF(AND(C87="yes",N(G87)&gt;=7),N(E87),0))</f>
        <v/>
      </c>
      <c r="K87" s="17" t="str">
        <f aca="false">IF(A87="","",A87-WEEKDAY(A87,3))</f>
        <v/>
      </c>
      <c r="L87" s="11"/>
    </row>
    <row r="88" customFormat="false" ht="15" hidden="false" customHeight="false" outlineLevel="0" collapsed="false">
      <c r="A88" s="10"/>
      <c r="B88" s="11"/>
      <c r="C88" s="11"/>
      <c r="D88" s="11"/>
      <c r="E88" s="11"/>
      <c r="F88" s="11"/>
      <c r="G88" s="11"/>
      <c r="H88" s="15" t="str">
        <f aca="false">IF(OR(D88="",F88=""),"",IF(F88&lt;=1,D88,D88*(1+F88/30)))</f>
        <v/>
      </c>
      <c r="I88" s="15" t="str">
        <f aca="false">IF(OR(D88="",F88="",G88=""),"",IF(F88+MAX(0,10-G88)&lt;=1,D88,D88*(1+(F88+MAX(0,10-G88))/30)))</f>
        <v/>
      </c>
      <c r="J88" s="16" t="str">
        <f aca="false">IF(A88="","",IF(AND(C88="yes",N(G88)&gt;=7),N(E88),0))</f>
        <v/>
      </c>
      <c r="K88" s="17" t="str">
        <f aca="false">IF(A88="","",A88-WEEKDAY(A88,3))</f>
        <v/>
      </c>
      <c r="L88" s="11"/>
    </row>
    <row r="89" customFormat="false" ht="15" hidden="false" customHeight="false" outlineLevel="0" collapsed="false">
      <c r="A89" s="10"/>
      <c r="B89" s="11"/>
      <c r="C89" s="11"/>
      <c r="D89" s="11"/>
      <c r="E89" s="11"/>
      <c r="F89" s="11"/>
      <c r="G89" s="11"/>
      <c r="H89" s="15" t="str">
        <f aca="false">IF(OR(D89="",F89=""),"",IF(F89&lt;=1,D89,D89*(1+F89/30)))</f>
        <v/>
      </c>
      <c r="I89" s="15" t="str">
        <f aca="false">IF(OR(D89="",F89="",G89=""),"",IF(F89+MAX(0,10-G89)&lt;=1,D89,D89*(1+(F89+MAX(0,10-G89))/30)))</f>
        <v/>
      </c>
      <c r="J89" s="16" t="str">
        <f aca="false">IF(A89="","",IF(AND(C89="yes",N(G89)&gt;=7),N(E89),0))</f>
        <v/>
      </c>
      <c r="K89" s="17" t="str">
        <f aca="false">IF(A89="","",A89-WEEKDAY(A89,3))</f>
        <v/>
      </c>
      <c r="L89" s="11"/>
    </row>
    <row r="90" customFormat="false" ht="15" hidden="false" customHeight="false" outlineLevel="0" collapsed="false">
      <c r="A90" s="10"/>
      <c r="B90" s="11"/>
      <c r="C90" s="11"/>
      <c r="D90" s="11"/>
      <c r="E90" s="11"/>
      <c r="F90" s="11"/>
      <c r="G90" s="11"/>
      <c r="H90" s="15" t="str">
        <f aca="false">IF(OR(D90="",F90=""),"",IF(F90&lt;=1,D90,D90*(1+F90/30)))</f>
        <v/>
      </c>
      <c r="I90" s="15" t="str">
        <f aca="false">IF(OR(D90="",F90="",G90=""),"",IF(F90+MAX(0,10-G90)&lt;=1,D90,D90*(1+(F90+MAX(0,10-G90))/30)))</f>
        <v/>
      </c>
      <c r="J90" s="16" t="str">
        <f aca="false">IF(A90="","",IF(AND(C90="yes",N(G90)&gt;=7),N(E90),0))</f>
        <v/>
      </c>
      <c r="K90" s="17" t="str">
        <f aca="false">IF(A90="","",A90-WEEKDAY(A90,3))</f>
        <v/>
      </c>
      <c r="L90" s="11"/>
    </row>
    <row r="91" customFormat="false" ht="15" hidden="false" customHeight="false" outlineLevel="0" collapsed="false">
      <c r="A91" s="10"/>
      <c r="B91" s="11"/>
      <c r="C91" s="11"/>
      <c r="D91" s="11"/>
      <c r="E91" s="11"/>
      <c r="F91" s="11"/>
      <c r="G91" s="11"/>
      <c r="H91" s="15" t="str">
        <f aca="false">IF(OR(D91="",F91=""),"",IF(F91&lt;=1,D91,D91*(1+F91/30)))</f>
        <v/>
      </c>
      <c r="I91" s="15" t="str">
        <f aca="false">IF(OR(D91="",F91="",G91=""),"",IF(F91+MAX(0,10-G91)&lt;=1,D91,D91*(1+(F91+MAX(0,10-G91))/30)))</f>
        <v/>
      </c>
      <c r="J91" s="16" t="str">
        <f aca="false">IF(A91="","",IF(AND(C91="yes",N(G91)&gt;=7),N(E91),0))</f>
        <v/>
      </c>
      <c r="K91" s="17" t="str">
        <f aca="false">IF(A91="","",A91-WEEKDAY(A91,3))</f>
        <v/>
      </c>
      <c r="L91" s="11"/>
    </row>
    <row r="92" customFormat="false" ht="15" hidden="false" customHeight="false" outlineLevel="0" collapsed="false">
      <c r="A92" s="10"/>
      <c r="B92" s="11"/>
      <c r="C92" s="11"/>
      <c r="D92" s="11"/>
      <c r="E92" s="11"/>
      <c r="F92" s="11"/>
      <c r="G92" s="11"/>
      <c r="H92" s="15" t="str">
        <f aca="false">IF(OR(D92="",F92=""),"",IF(F92&lt;=1,D92,D92*(1+F92/30)))</f>
        <v/>
      </c>
      <c r="I92" s="15" t="str">
        <f aca="false">IF(OR(D92="",F92="",G92=""),"",IF(F92+MAX(0,10-G92)&lt;=1,D92,D92*(1+(F92+MAX(0,10-G92))/30)))</f>
        <v/>
      </c>
      <c r="J92" s="16" t="str">
        <f aca="false">IF(A92="","",IF(AND(C92="yes",N(G92)&gt;=7),N(E92),0))</f>
        <v/>
      </c>
      <c r="K92" s="17" t="str">
        <f aca="false">IF(A92="","",A92-WEEKDAY(A92,3))</f>
        <v/>
      </c>
      <c r="L92" s="11"/>
    </row>
    <row r="93" customFormat="false" ht="15" hidden="false" customHeight="false" outlineLevel="0" collapsed="false">
      <c r="A93" s="10"/>
      <c r="B93" s="11"/>
      <c r="C93" s="11"/>
      <c r="D93" s="11"/>
      <c r="E93" s="11"/>
      <c r="F93" s="11"/>
      <c r="G93" s="11"/>
      <c r="H93" s="15" t="str">
        <f aca="false">IF(OR(D93="",F93=""),"",IF(F93&lt;=1,D93,D93*(1+F93/30)))</f>
        <v/>
      </c>
      <c r="I93" s="15" t="str">
        <f aca="false">IF(OR(D93="",F93="",G93=""),"",IF(F93+MAX(0,10-G93)&lt;=1,D93,D93*(1+(F93+MAX(0,10-G93))/30)))</f>
        <v/>
      </c>
      <c r="J93" s="16" t="str">
        <f aca="false">IF(A93="","",IF(AND(C93="yes",N(G93)&gt;=7),N(E93),0))</f>
        <v/>
      </c>
      <c r="K93" s="17" t="str">
        <f aca="false">IF(A93="","",A93-WEEKDAY(A93,3))</f>
        <v/>
      </c>
      <c r="L93" s="11"/>
    </row>
    <row r="94" customFormat="false" ht="15" hidden="false" customHeight="false" outlineLevel="0" collapsed="false">
      <c r="A94" s="10"/>
      <c r="B94" s="11"/>
      <c r="C94" s="11"/>
      <c r="D94" s="11"/>
      <c r="E94" s="11"/>
      <c r="F94" s="11"/>
      <c r="G94" s="11"/>
      <c r="H94" s="15" t="str">
        <f aca="false">IF(OR(D94="",F94=""),"",IF(F94&lt;=1,D94,D94*(1+F94/30)))</f>
        <v/>
      </c>
      <c r="I94" s="15" t="str">
        <f aca="false">IF(OR(D94="",F94="",G94=""),"",IF(F94+MAX(0,10-G94)&lt;=1,D94,D94*(1+(F94+MAX(0,10-G94))/30)))</f>
        <v/>
      </c>
      <c r="J94" s="16" t="str">
        <f aca="false">IF(A94="","",IF(AND(C94="yes",N(G94)&gt;=7),N(E94),0))</f>
        <v/>
      </c>
      <c r="K94" s="17" t="str">
        <f aca="false">IF(A94="","",A94-WEEKDAY(A94,3))</f>
        <v/>
      </c>
      <c r="L94" s="11"/>
    </row>
    <row r="95" customFormat="false" ht="15" hidden="false" customHeight="false" outlineLevel="0" collapsed="false">
      <c r="A95" s="10"/>
      <c r="B95" s="11"/>
      <c r="C95" s="11"/>
      <c r="D95" s="11"/>
      <c r="E95" s="11"/>
      <c r="F95" s="11"/>
      <c r="G95" s="11"/>
      <c r="H95" s="15" t="str">
        <f aca="false">IF(OR(D95="",F95=""),"",IF(F95&lt;=1,D95,D95*(1+F95/30)))</f>
        <v/>
      </c>
      <c r="I95" s="15" t="str">
        <f aca="false">IF(OR(D95="",F95="",G95=""),"",IF(F95+MAX(0,10-G95)&lt;=1,D95,D95*(1+(F95+MAX(0,10-G95))/30)))</f>
        <v/>
      </c>
      <c r="J95" s="16" t="str">
        <f aca="false">IF(A95="","",IF(AND(C95="yes",N(G95)&gt;=7),N(E95),0))</f>
        <v/>
      </c>
      <c r="K95" s="17" t="str">
        <f aca="false">IF(A95="","",A95-WEEKDAY(A95,3))</f>
        <v/>
      </c>
      <c r="L95" s="11"/>
    </row>
    <row r="96" customFormat="false" ht="15" hidden="false" customHeight="false" outlineLevel="0" collapsed="false">
      <c r="A96" s="10"/>
      <c r="B96" s="11"/>
      <c r="C96" s="11"/>
      <c r="D96" s="11"/>
      <c r="E96" s="11"/>
      <c r="F96" s="11"/>
      <c r="G96" s="11"/>
      <c r="H96" s="15" t="str">
        <f aca="false">IF(OR(D96="",F96=""),"",IF(F96&lt;=1,D96,D96*(1+F96/30)))</f>
        <v/>
      </c>
      <c r="I96" s="15" t="str">
        <f aca="false">IF(OR(D96="",F96="",G96=""),"",IF(F96+MAX(0,10-G96)&lt;=1,D96,D96*(1+(F96+MAX(0,10-G96))/30)))</f>
        <v/>
      </c>
      <c r="J96" s="16" t="str">
        <f aca="false">IF(A96="","",IF(AND(C96="yes",N(G96)&gt;=7),N(E96),0))</f>
        <v/>
      </c>
      <c r="K96" s="17" t="str">
        <f aca="false">IF(A96="","",A96-WEEKDAY(A96,3))</f>
        <v/>
      </c>
      <c r="L96" s="11"/>
    </row>
    <row r="97" customFormat="false" ht="15" hidden="false" customHeight="false" outlineLevel="0" collapsed="false">
      <c r="A97" s="10"/>
      <c r="B97" s="11"/>
      <c r="C97" s="11"/>
      <c r="D97" s="11"/>
      <c r="E97" s="11"/>
      <c r="F97" s="11"/>
      <c r="G97" s="11"/>
      <c r="H97" s="15" t="str">
        <f aca="false">IF(OR(D97="",F97=""),"",IF(F97&lt;=1,D97,D97*(1+F97/30)))</f>
        <v/>
      </c>
      <c r="I97" s="15" t="str">
        <f aca="false">IF(OR(D97="",F97="",G97=""),"",IF(F97+MAX(0,10-G97)&lt;=1,D97,D97*(1+(F97+MAX(0,10-G97))/30)))</f>
        <v/>
      </c>
      <c r="J97" s="16" t="str">
        <f aca="false">IF(A97="","",IF(AND(C97="yes",N(G97)&gt;=7),N(E97),0))</f>
        <v/>
      </c>
      <c r="K97" s="17" t="str">
        <f aca="false">IF(A97="","",A97-WEEKDAY(A97,3))</f>
        <v/>
      </c>
      <c r="L97" s="11"/>
    </row>
    <row r="98" customFormat="false" ht="15" hidden="false" customHeight="false" outlineLevel="0" collapsed="false">
      <c r="A98" s="10"/>
      <c r="B98" s="11"/>
      <c r="C98" s="11"/>
      <c r="D98" s="11"/>
      <c r="E98" s="11"/>
      <c r="F98" s="11"/>
      <c r="G98" s="11"/>
      <c r="H98" s="15" t="str">
        <f aca="false">IF(OR(D98="",F98=""),"",IF(F98&lt;=1,D98,D98*(1+F98/30)))</f>
        <v/>
      </c>
      <c r="I98" s="15" t="str">
        <f aca="false">IF(OR(D98="",F98="",G98=""),"",IF(F98+MAX(0,10-G98)&lt;=1,D98,D98*(1+(F98+MAX(0,10-G98))/30)))</f>
        <v/>
      </c>
      <c r="J98" s="16" t="str">
        <f aca="false">IF(A98="","",IF(AND(C98="yes",N(G98)&gt;=7),N(E98),0))</f>
        <v/>
      </c>
      <c r="K98" s="17" t="str">
        <f aca="false">IF(A98="","",A98-WEEKDAY(A98,3))</f>
        <v/>
      </c>
      <c r="L98" s="11"/>
    </row>
    <row r="99" customFormat="false" ht="15" hidden="false" customHeight="false" outlineLevel="0" collapsed="false">
      <c r="A99" s="10"/>
      <c r="B99" s="11"/>
      <c r="C99" s="11"/>
      <c r="D99" s="11"/>
      <c r="E99" s="11"/>
      <c r="F99" s="11"/>
      <c r="G99" s="11"/>
      <c r="H99" s="15" t="str">
        <f aca="false">IF(OR(D99="",F99=""),"",IF(F99&lt;=1,D99,D99*(1+F99/30)))</f>
        <v/>
      </c>
      <c r="I99" s="15" t="str">
        <f aca="false">IF(OR(D99="",F99="",G99=""),"",IF(F99+MAX(0,10-G99)&lt;=1,D99,D99*(1+(F99+MAX(0,10-G99))/30)))</f>
        <v/>
      </c>
      <c r="J99" s="16" t="str">
        <f aca="false">IF(A99="","",IF(AND(C99="yes",N(G99)&gt;=7),N(E99),0))</f>
        <v/>
      </c>
      <c r="K99" s="17" t="str">
        <f aca="false">IF(A99="","",A99-WEEKDAY(A99,3))</f>
        <v/>
      </c>
      <c r="L99" s="11"/>
    </row>
    <row r="100" customFormat="false" ht="15" hidden="false" customHeight="false" outlineLevel="0" collapsed="false">
      <c r="A100" s="10"/>
      <c r="B100" s="11"/>
      <c r="C100" s="11"/>
      <c r="D100" s="11"/>
      <c r="E100" s="11"/>
      <c r="F100" s="11"/>
      <c r="G100" s="11"/>
      <c r="H100" s="15" t="str">
        <f aca="false">IF(OR(D100="",F100=""),"",IF(F100&lt;=1,D100,D100*(1+F100/30)))</f>
        <v/>
      </c>
      <c r="I100" s="15" t="str">
        <f aca="false">IF(OR(D100="",F100="",G100=""),"",IF(F100+MAX(0,10-G100)&lt;=1,D100,D100*(1+(F100+MAX(0,10-G100))/30)))</f>
        <v/>
      </c>
      <c r="J100" s="16" t="str">
        <f aca="false">IF(A100="","",IF(AND(C100="yes",N(G100)&gt;=7),N(E100),0))</f>
        <v/>
      </c>
      <c r="K100" s="17" t="str">
        <f aca="false">IF(A100="","",A100-WEEKDAY(A100,3))</f>
        <v/>
      </c>
      <c r="L100" s="11"/>
    </row>
    <row r="101" customFormat="false" ht="15" hidden="false" customHeight="false" outlineLevel="0" collapsed="false">
      <c r="A101" s="10"/>
      <c r="B101" s="11"/>
      <c r="C101" s="11"/>
      <c r="D101" s="11"/>
      <c r="E101" s="11"/>
      <c r="F101" s="11"/>
      <c r="G101" s="11"/>
      <c r="H101" s="15" t="str">
        <f aca="false">IF(OR(D101="",F101=""),"",IF(F101&lt;=1,D101,D101*(1+F101/30)))</f>
        <v/>
      </c>
      <c r="I101" s="15" t="str">
        <f aca="false">IF(OR(D101="",F101="",G101=""),"",IF(F101+MAX(0,10-G101)&lt;=1,D101,D101*(1+(F101+MAX(0,10-G101))/30)))</f>
        <v/>
      </c>
      <c r="J101" s="16" t="str">
        <f aca="false">IF(A101="","",IF(AND(C101="yes",N(G101)&gt;=7),N(E101),0))</f>
        <v/>
      </c>
      <c r="K101" s="17" t="str">
        <f aca="false">IF(A101="","",A101-WEEKDAY(A101,3))</f>
        <v/>
      </c>
      <c r="L101" s="11"/>
    </row>
    <row r="102" customFormat="false" ht="15" hidden="false" customHeight="false" outlineLevel="0" collapsed="false">
      <c r="A102" s="10"/>
      <c r="B102" s="11"/>
      <c r="C102" s="11"/>
      <c r="D102" s="11"/>
      <c r="E102" s="11"/>
      <c r="F102" s="11"/>
      <c r="G102" s="11"/>
      <c r="H102" s="15" t="str">
        <f aca="false">IF(OR(D102="",F102=""),"",IF(F102&lt;=1,D102,D102*(1+F102/30)))</f>
        <v/>
      </c>
      <c r="I102" s="15" t="str">
        <f aca="false">IF(OR(D102="",F102="",G102=""),"",IF(F102+MAX(0,10-G102)&lt;=1,D102,D102*(1+(F102+MAX(0,10-G102))/30)))</f>
        <v/>
      </c>
      <c r="J102" s="16" t="str">
        <f aca="false">IF(A102="","",IF(AND(C102="yes",N(G102)&gt;=7),N(E102),0))</f>
        <v/>
      </c>
      <c r="K102" s="17" t="str">
        <f aca="false">IF(A102="","",A102-WEEKDAY(A102,3))</f>
        <v/>
      </c>
      <c r="L102" s="11"/>
    </row>
    <row r="103" customFormat="false" ht="15" hidden="false" customHeight="false" outlineLevel="0" collapsed="false">
      <c r="A103" s="10"/>
      <c r="B103" s="11"/>
      <c r="C103" s="11"/>
      <c r="D103" s="11"/>
      <c r="E103" s="11"/>
      <c r="F103" s="11"/>
      <c r="G103" s="11"/>
      <c r="H103" s="15" t="str">
        <f aca="false">IF(OR(D103="",F103=""),"",IF(F103&lt;=1,D103,D103*(1+F103/30)))</f>
        <v/>
      </c>
      <c r="I103" s="15" t="str">
        <f aca="false">IF(OR(D103="",F103="",G103=""),"",IF(F103+MAX(0,10-G103)&lt;=1,D103,D103*(1+(F103+MAX(0,10-G103))/30)))</f>
        <v/>
      </c>
      <c r="J103" s="16" t="str">
        <f aca="false">IF(A103="","",IF(AND(C103="yes",N(G103)&gt;=7),N(E103),0))</f>
        <v/>
      </c>
      <c r="K103" s="17" t="str">
        <f aca="false">IF(A103="","",A103-WEEKDAY(A103,3))</f>
        <v/>
      </c>
      <c r="L103" s="11"/>
    </row>
    <row r="104" customFormat="false" ht="15" hidden="false" customHeight="false" outlineLevel="0" collapsed="false">
      <c r="A104" s="10"/>
      <c r="B104" s="11"/>
      <c r="C104" s="11"/>
      <c r="D104" s="11"/>
      <c r="E104" s="11"/>
      <c r="F104" s="11"/>
      <c r="G104" s="11"/>
      <c r="H104" s="15" t="str">
        <f aca="false">IF(OR(D104="",F104=""),"",IF(F104&lt;=1,D104,D104*(1+F104/30)))</f>
        <v/>
      </c>
      <c r="I104" s="15" t="str">
        <f aca="false">IF(OR(D104="",F104="",G104=""),"",IF(F104+MAX(0,10-G104)&lt;=1,D104,D104*(1+(F104+MAX(0,10-G104))/30)))</f>
        <v/>
      </c>
      <c r="J104" s="16" t="str">
        <f aca="false">IF(A104="","",IF(AND(C104="yes",N(G104)&gt;=7),N(E104),0))</f>
        <v/>
      </c>
      <c r="K104" s="17" t="str">
        <f aca="false">IF(A104="","",A104-WEEKDAY(A104,3))</f>
        <v/>
      </c>
      <c r="L104" s="11"/>
    </row>
    <row r="105" customFormat="false" ht="15" hidden="false" customHeight="false" outlineLevel="0" collapsed="false">
      <c r="A105" s="10"/>
      <c r="B105" s="11"/>
      <c r="C105" s="11"/>
      <c r="D105" s="11"/>
      <c r="E105" s="11"/>
      <c r="F105" s="11"/>
      <c r="G105" s="11"/>
      <c r="H105" s="15" t="str">
        <f aca="false">IF(OR(D105="",F105=""),"",IF(F105&lt;=1,D105,D105*(1+F105/30)))</f>
        <v/>
      </c>
      <c r="I105" s="15" t="str">
        <f aca="false">IF(OR(D105="",F105="",G105=""),"",IF(F105+MAX(0,10-G105)&lt;=1,D105,D105*(1+(F105+MAX(0,10-G105))/30)))</f>
        <v/>
      </c>
      <c r="J105" s="16" t="str">
        <f aca="false">IF(A105="","",IF(AND(C105="yes",N(G105)&gt;=7),N(E105),0))</f>
        <v/>
      </c>
      <c r="K105" s="17" t="str">
        <f aca="false">IF(A105="","",A105-WEEKDAY(A105,3))</f>
        <v/>
      </c>
      <c r="L105" s="11"/>
    </row>
    <row r="106" customFormat="false" ht="15" hidden="false" customHeight="false" outlineLevel="0" collapsed="false">
      <c r="A106" s="10"/>
      <c r="B106" s="11"/>
      <c r="C106" s="11"/>
      <c r="D106" s="11"/>
      <c r="E106" s="11"/>
      <c r="F106" s="11"/>
      <c r="G106" s="11"/>
      <c r="H106" s="15" t="str">
        <f aca="false">IF(OR(D106="",F106=""),"",IF(F106&lt;=1,D106,D106*(1+F106/30)))</f>
        <v/>
      </c>
      <c r="I106" s="15" t="str">
        <f aca="false">IF(OR(D106="",F106="",G106=""),"",IF(F106+MAX(0,10-G106)&lt;=1,D106,D106*(1+(F106+MAX(0,10-G106))/30)))</f>
        <v/>
      </c>
      <c r="J106" s="16" t="str">
        <f aca="false">IF(A106="","",IF(AND(C106="yes",N(G106)&gt;=7),N(E106),0))</f>
        <v/>
      </c>
      <c r="K106" s="17" t="str">
        <f aca="false">IF(A106="","",A106-WEEKDAY(A106,3))</f>
        <v/>
      </c>
      <c r="L106" s="11"/>
    </row>
    <row r="107" customFormat="false" ht="15" hidden="false" customHeight="false" outlineLevel="0" collapsed="false">
      <c r="A107" s="10"/>
      <c r="B107" s="11"/>
      <c r="C107" s="11"/>
      <c r="D107" s="11"/>
      <c r="E107" s="11"/>
      <c r="F107" s="11"/>
      <c r="G107" s="11"/>
      <c r="H107" s="15" t="str">
        <f aca="false">IF(OR(D107="",F107=""),"",IF(F107&lt;=1,D107,D107*(1+F107/30)))</f>
        <v/>
      </c>
      <c r="I107" s="15" t="str">
        <f aca="false">IF(OR(D107="",F107="",G107=""),"",IF(F107+MAX(0,10-G107)&lt;=1,D107,D107*(1+(F107+MAX(0,10-G107))/30)))</f>
        <v/>
      </c>
      <c r="J107" s="16" t="str">
        <f aca="false">IF(A107="","",IF(AND(C107="yes",N(G107)&gt;=7),N(E107),0))</f>
        <v/>
      </c>
      <c r="K107" s="17" t="str">
        <f aca="false">IF(A107="","",A107-WEEKDAY(A107,3))</f>
        <v/>
      </c>
      <c r="L107" s="11"/>
    </row>
    <row r="108" customFormat="false" ht="15" hidden="false" customHeight="false" outlineLevel="0" collapsed="false">
      <c r="A108" s="10"/>
      <c r="B108" s="11"/>
      <c r="C108" s="11"/>
      <c r="D108" s="11"/>
      <c r="E108" s="11"/>
      <c r="F108" s="11"/>
      <c r="G108" s="11"/>
      <c r="H108" s="15" t="str">
        <f aca="false">IF(OR(D108="",F108=""),"",IF(F108&lt;=1,D108,D108*(1+F108/30)))</f>
        <v/>
      </c>
      <c r="I108" s="15" t="str">
        <f aca="false">IF(OR(D108="",F108="",G108=""),"",IF(F108+MAX(0,10-G108)&lt;=1,D108,D108*(1+(F108+MAX(0,10-G108))/30)))</f>
        <v/>
      </c>
      <c r="J108" s="16" t="str">
        <f aca="false">IF(A108="","",IF(AND(C108="yes",N(G108)&gt;=7),N(E108),0))</f>
        <v/>
      </c>
      <c r="K108" s="17" t="str">
        <f aca="false">IF(A108="","",A108-WEEKDAY(A108,3))</f>
        <v/>
      </c>
      <c r="L108" s="11"/>
    </row>
    <row r="109" customFormat="false" ht="15" hidden="false" customHeight="false" outlineLevel="0" collapsed="false">
      <c r="A109" s="10"/>
      <c r="B109" s="11"/>
      <c r="C109" s="11"/>
      <c r="D109" s="11"/>
      <c r="E109" s="11"/>
      <c r="F109" s="11"/>
      <c r="G109" s="11"/>
      <c r="H109" s="15" t="str">
        <f aca="false">IF(OR(D109="",F109=""),"",IF(F109&lt;=1,D109,D109*(1+F109/30)))</f>
        <v/>
      </c>
      <c r="I109" s="15" t="str">
        <f aca="false">IF(OR(D109="",F109="",G109=""),"",IF(F109+MAX(0,10-G109)&lt;=1,D109,D109*(1+(F109+MAX(0,10-G109))/30)))</f>
        <v/>
      </c>
      <c r="J109" s="16" t="str">
        <f aca="false">IF(A109="","",IF(AND(C109="yes",N(G109)&gt;=7),N(E109),0))</f>
        <v/>
      </c>
      <c r="K109" s="17" t="str">
        <f aca="false">IF(A109="","",A109-WEEKDAY(A109,3))</f>
        <v/>
      </c>
      <c r="L109" s="11"/>
    </row>
    <row r="110" customFormat="false" ht="15" hidden="false" customHeight="false" outlineLevel="0" collapsed="false">
      <c r="A110" s="10"/>
      <c r="B110" s="11"/>
      <c r="C110" s="11"/>
      <c r="D110" s="11"/>
      <c r="E110" s="11"/>
      <c r="F110" s="11"/>
      <c r="G110" s="11"/>
      <c r="H110" s="15" t="str">
        <f aca="false">IF(OR(D110="",F110=""),"",IF(F110&lt;=1,D110,D110*(1+F110/30)))</f>
        <v/>
      </c>
      <c r="I110" s="15" t="str">
        <f aca="false">IF(OR(D110="",F110="",G110=""),"",IF(F110+MAX(0,10-G110)&lt;=1,D110,D110*(1+(F110+MAX(0,10-G110))/30)))</f>
        <v/>
      </c>
      <c r="J110" s="16" t="str">
        <f aca="false">IF(A110="","",IF(AND(C110="yes",N(G110)&gt;=7),N(E110),0))</f>
        <v/>
      </c>
      <c r="K110" s="17" t="str">
        <f aca="false">IF(A110="","",A110-WEEKDAY(A110,3))</f>
        <v/>
      </c>
      <c r="L110" s="11"/>
    </row>
    <row r="111" customFormat="false" ht="15" hidden="false" customHeight="false" outlineLevel="0" collapsed="false">
      <c r="A111" s="10"/>
      <c r="B111" s="11"/>
      <c r="C111" s="11"/>
      <c r="D111" s="11"/>
      <c r="E111" s="11"/>
      <c r="F111" s="11"/>
      <c r="G111" s="11"/>
      <c r="H111" s="15" t="str">
        <f aca="false">IF(OR(D111="",F111=""),"",IF(F111&lt;=1,D111,D111*(1+F111/30)))</f>
        <v/>
      </c>
      <c r="I111" s="15" t="str">
        <f aca="false">IF(OR(D111="",F111="",G111=""),"",IF(F111+MAX(0,10-G111)&lt;=1,D111,D111*(1+(F111+MAX(0,10-G111))/30)))</f>
        <v/>
      </c>
      <c r="J111" s="16" t="str">
        <f aca="false">IF(A111="","",IF(AND(C111="yes",N(G111)&gt;=7),N(E111),0))</f>
        <v/>
      </c>
      <c r="K111" s="17" t="str">
        <f aca="false">IF(A111="","",A111-WEEKDAY(A111,3))</f>
        <v/>
      </c>
      <c r="L111" s="11"/>
    </row>
    <row r="112" customFormat="false" ht="15" hidden="false" customHeight="false" outlineLevel="0" collapsed="false">
      <c r="A112" s="10"/>
      <c r="B112" s="11"/>
      <c r="C112" s="11"/>
      <c r="D112" s="11"/>
      <c r="E112" s="11"/>
      <c r="F112" s="11"/>
      <c r="G112" s="11"/>
      <c r="H112" s="15" t="str">
        <f aca="false">IF(OR(D112="",F112=""),"",IF(F112&lt;=1,D112,D112*(1+F112/30)))</f>
        <v/>
      </c>
      <c r="I112" s="15" t="str">
        <f aca="false">IF(OR(D112="",F112="",G112=""),"",IF(F112+MAX(0,10-G112)&lt;=1,D112,D112*(1+(F112+MAX(0,10-G112))/30)))</f>
        <v/>
      </c>
      <c r="J112" s="16" t="str">
        <f aca="false">IF(A112="","",IF(AND(C112="yes",N(G112)&gt;=7),N(E112),0))</f>
        <v/>
      </c>
      <c r="K112" s="17" t="str">
        <f aca="false">IF(A112="","",A112-WEEKDAY(A112,3))</f>
        <v/>
      </c>
      <c r="L112" s="11"/>
    </row>
    <row r="113" customFormat="false" ht="15" hidden="false" customHeight="false" outlineLevel="0" collapsed="false">
      <c r="A113" s="10"/>
      <c r="B113" s="11"/>
      <c r="C113" s="11"/>
      <c r="D113" s="11"/>
      <c r="E113" s="11"/>
      <c r="F113" s="11"/>
      <c r="G113" s="11"/>
      <c r="H113" s="15" t="str">
        <f aca="false">IF(OR(D113="",F113=""),"",IF(F113&lt;=1,D113,D113*(1+F113/30)))</f>
        <v/>
      </c>
      <c r="I113" s="15" t="str">
        <f aca="false">IF(OR(D113="",F113="",G113=""),"",IF(F113+MAX(0,10-G113)&lt;=1,D113,D113*(1+(F113+MAX(0,10-G113))/30)))</f>
        <v/>
      </c>
      <c r="J113" s="16" t="str">
        <f aca="false">IF(A113="","",IF(AND(C113="yes",N(G113)&gt;=7),N(E113),0))</f>
        <v/>
      </c>
      <c r="K113" s="17" t="str">
        <f aca="false">IF(A113="","",A113-WEEKDAY(A113,3))</f>
        <v/>
      </c>
      <c r="L113" s="11"/>
    </row>
    <row r="114" customFormat="false" ht="15" hidden="false" customHeight="false" outlineLevel="0" collapsed="false">
      <c r="A114" s="10"/>
      <c r="B114" s="11"/>
      <c r="C114" s="11"/>
      <c r="D114" s="11"/>
      <c r="E114" s="11"/>
      <c r="F114" s="11"/>
      <c r="G114" s="11"/>
      <c r="H114" s="15" t="str">
        <f aca="false">IF(OR(D114="",F114=""),"",IF(F114&lt;=1,D114,D114*(1+F114/30)))</f>
        <v/>
      </c>
      <c r="I114" s="15" t="str">
        <f aca="false">IF(OR(D114="",F114="",G114=""),"",IF(F114+MAX(0,10-G114)&lt;=1,D114,D114*(1+(F114+MAX(0,10-G114))/30)))</f>
        <v/>
      </c>
      <c r="J114" s="16" t="str">
        <f aca="false">IF(A114="","",IF(AND(C114="yes",N(G114)&gt;=7),N(E114),0))</f>
        <v/>
      </c>
      <c r="K114" s="17" t="str">
        <f aca="false">IF(A114="","",A114-WEEKDAY(A114,3))</f>
        <v/>
      </c>
      <c r="L114" s="11"/>
    </row>
    <row r="115" customFormat="false" ht="15" hidden="false" customHeight="false" outlineLevel="0" collapsed="false">
      <c r="A115" s="10"/>
      <c r="B115" s="11"/>
      <c r="C115" s="11"/>
      <c r="D115" s="11"/>
      <c r="E115" s="11"/>
      <c r="F115" s="11"/>
      <c r="G115" s="11"/>
      <c r="H115" s="15" t="str">
        <f aca="false">IF(OR(D115="",F115=""),"",IF(F115&lt;=1,D115,D115*(1+F115/30)))</f>
        <v/>
      </c>
      <c r="I115" s="15" t="str">
        <f aca="false">IF(OR(D115="",F115="",G115=""),"",IF(F115+MAX(0,10-G115)&lt;=1,D115,D115*(1+(F115+MAX(0,10-G115))/30)))</f>
        <v/>
      </c>
      <c r="J115" s="16" t="str">
        <f aca="false">IF(A115="","",IF(AND(C115="yes",N(G115)&gt;=7),N(E115),0))</f>
        <v/>
      </c>
      <c r="K115" s="17" t="str">
        <f aca="false">IF(A115="","",A115-WEEKDAY(A115,3))</f>
        <v/>
      </c>
      <c r="L115" s="11"/>
    </row>
    <row r="116" customFormat="false" ht="15" hidden="false" customHeight="false" outlineLevel="0" collapsed="false">
      <c r="A116" s="10"/>
      <c r="B116" s="11"/>
      <c r="C116" s="11"/>
      <c r="D116" s="11"/>
      <c r="E116" s="11"/>
      <c r="F116" s="11"/>
      <c r="G116" s="11"/>
      <c r="H116" s="15" t="str">
        <f aca="false">IF(OR(D116="",F116=""),"",IF(F116&lt;=1,D116,D116*(1+F116/30)))</f>
        <v/>
      </c>
      <c r="I116" s="15" t="str">
        <f aca="false">IF(OR(D116="",F116="",G116=""),"",IF(F116+MAX(0,10-G116)&lt;=1,D116,D116*(1+(F116+MAX(0,10-G116))/30)))</f>
        <v/>
      </c>
      <c r="J116" s="16" t="str">
        <f aca="false">IF(A116="","",IF(AND(C116="yes",N(G116)&gt;=7),N(E116),0))</f>
        <v/>
      </c>
      <c r="K116" s="17" t="str">
        <f aca="false">IF(A116="","",A116-WEEKDAY(A116,3))</f>
        <v/>
      </c>
      <c r="L116" s="11"/>
    </row>
    <row r="117" customFormat="false" ht="15" hidden="false" customHeight="false" outlineLevel="0" collapsed="false">
      <c r="A117" s="10"/>
      <c r="B117" s="11"/>
      <c r="C117" s="11"/>
      <c r="D117" s="11"/>
      <c r="E117" s="11"/>
      <c r="F117" s="11"/>
      <c r="G117" s="11"/>
      <c r="H117" s="15" t="str">
        <f aca="false">IF(OR(D117="",F117=""),"",IF(F117&lt;=1,D117,D117*(1+F117/30)))</f>
        <v/>
      </c>
      <c r="I117" s="15" t="str">
        <f aca="false">IF(OR(D117="",F117="",G117=""),"",IF(F117+MAX(0,10-G117)&lt;=1,D117,D117*(1+(F117+MAX(0,10-G117))/30)))</f>
        <v/>
      </c>
      <c r="J117" s="16" t="str">
        <f aca="false">IF(A117="","",IF(AND(C117="yes",N(G117)&gt;=7),N(E117),0))</f>
        <v/>
      </c>
      <c r="K117" s="17" t="str">
        <f aca="false">IF(A117="","",A117-WEEKDAY(A117,3))</f>
        <v/>
      </c>
      <c r="L117" s="11"/>
    </row>
    <row r="118" customFormat="false" ht="15" hidden="false" customHeight="false" outlineLevel="0" collapsed="false">
      <c r="A118" s="10"/>
      <c r="B118" s="11"/>
      <c r="C118" s="11"/>
      <c r="D118" s="11"/>
      <c r="E118" s="11"/>
      <c r="F118" s="11"/>
      <c r="G118" s="11"/>
      <c r="H118" s="15" t="str">
        <f aca="false">IF(OR(D118="",F118=""),"",IF(F118&lt;=1,D118,D118*(1+F118/30)))</f>
        <v/>
      </c>
      <c r="I118" s="15" t="str">
        <f aca="false">IF(OR(D118="",F118="",G118=""),"",IF(F118+MAX(0,10-G118)&lt;=1,D118,D118*(1+(F118+MAX(0,10-G118))/30)))</f>
        <v/>
      </c>
      <c r="J118" s="16" t="str">
        <f aca="false">IF(A118="","",IF(AND(C118="yes",N(G118)&gt;=7),N(E118),0))</f>
        <v/>
      </c>
      <c r="K118" s="17" t="str">
        <f aca="false">IF(A118="","",A118-WEEKDAY(A118,3))</f>
        <v/>
      </c>
      <c r="L118" s="11"/>
    </row>
    <row r="119" customFormat="false" ht="15" hidden="false" customHeight="false" outlineLevel="0" collapsed="false">
      <c r="A119" s="10"/>
      <c r="B119" s="11"/>
      <c r="C119" s="11"/>
      <c r="D119" s="11"/>
      <c r="E119" s="11"/>
      <c r="F119" s="11"/>
      <c r="G119" s="11"/>
      <c r="H119" s="15" t="str">
        <f aca="false">IF(OR(D119="",F119=""),"",IF(F119&lt;=1,D119,D119*(1+F119/30)))</f>
        <v/>
      </c>
      <c r="I119" s="15" t="str">
        <f aca="false">IF(OR(D119="",F119="",G119=""),"",IF(F119+MAX(0,10-G119)&lt;=1,D119,D119*(1+(F119+MAX(0,10-G119))/30)))</f>
        <v/>
      </c>
      <c r="J119" s="16" t="str">
        <f aca="false">IF(A119="","",IF(AND(C119="yes",N(G119)&gt;=7),N(E119),0))</f>
        <v/>
      </c>
      <c r="K119" s="17" t="str">
        <f aca="false">IF(A119="","",A119-WEEKDAY(A119,3))</f>
        <v/>
      </c>
      <c r="L119" s="11"/>
    </row>
    <row r="120" customFormat="false" ht="15" hidden="false" customHeight="false" outlineLevel="0" collapsed="false">
      <c r="A120" s="10"/>
      <c r="B120" s="11"/>
      <c r="C120" s="11"/>
      <c r="D120" s="11"/>
      <c r="E120" s="11"/>
      <c r="F120" s="11"/>
      <c r="G120" s="11"/>
      <c r="H120" s="15" t="str">
        <f aca="false">IF(OR(D120="",F120=""),"",IF(F120&lt;=1,D120,D120*(1+F120/30)))</f>
        <v/>
      </c>
      <c r="I120" s="15" t="str">
        <f aca="false">IF(OR(D120="",F120="",G120=""),"",IF(F120+MAX(0,10-G120)&lt;=1,D120,D120*(1+(F120+MAX(0,10-G120))/30)))</f>
        <v/>
      </c>
      <c r="J120" s="16" t="str">
        <f aca="false">IF(A120="","",IF(AND(C120="yes",N(G120)&gt;=7),N(E120),0))</f>
        <v/>
      </c>
      <c r="K120" s="17" t="str">
        <f aca="false">IF(A120="","",A120-WEEKDAY(A120,3))</f>
        <v/>
      </c>
      <c r="L120" s="11"/>
    </row>
    <row r="121" customFormat="false" ht="15" hidden="false" customHeight="false" outlineLevel="0" collapsed="false">
      <c r="A121" s="10"/>
      <c r="B121" s="11"/>
      <c r="C121" s="11"/>
      <c r="D121" s="11"/>
      <c r="E121" s="11"/>
      <c r="F121" s="11"/>
      <c r="G121" s="11"/>
      <c r="H121" s="15" t="str">
        <f aca="false">IF(OR(D121="",F121=""),"",IF(F121&lt;=1,D121,D121*(1+F121/30)))</f>
        <v/>
      </c>
      <c r="I121" s="15" t="str">
        <f aca="false">IF(OR(D121="",F121="",G121=""),"",IF(F121+MAX(0,10-G121)&lt;=1,D121,D121*(1+(F121+MAX(0,10-G121))/30)))</f>
        <v/>
      </c>
      <c r="J121" s="16" t="str">
        <f aca="false">IF(A121="","",IF(AND(C121="yes",N(G121)&gt;=7),N(E121),0))</f>
        <v/>
      </c>
      <c r="K121" s="17" t="str">
        <f aca="false">IF(A121="","",A121-WEEKDAY(A121,3))</f>
        <v/>
      </c>
      <c r="L121" s="11"/>
    </row>
    <row r="122" customFormat="false" ht="15" hidden="false" customHeight="false" outlineLevel="0" collapsed="false">
      <c r="A122" s="10"/>
      <c r="B122" s="11"/>
      <c r="C122" s="11"/>
      <c r="D122" s="11"/>
      <c r="E122" s="11"/>
      <c r="F122" s="11"/>
      <c r="G122" s="11"/>
      <c r="H122" s="15" t="str">
        <f aca="false">IF(OR(D122="",F122=""),"",IF(F122&lt;=1,D122,D122*(1+F122/30)))</f>
        <v/>
      </c>
      <c r="I122" s="15" t="str">
        <f aca="false">IF(OR(D122="",F122="",G122=""),"",IF(F122+MAX(0,10-G122)&lt;=1,D122,D122*(1+(F122+MAX(0,10-G122))/30)))</f>
        <v/>
      </c>
      <c r="J122" s="16" t="str">
        <f aca="false">IF(A122="","",IF(AND(C122="yes",N(G122)&gt;=7),N(E122),0))</f>
        <v/>
      </c>
      <c r="K122" s="17" t="str">
        <f aca="false">IF(A122="","",A122-WEEKDAY(A122,3))</f>
        <v/>
      </c>
      <c r="L122" s="11"/>
    </row>
    <row r="123" customFormat="false" ht="15" hidden="false" customHeight="false" outlineLevel="0" collapsed="false">
      <c r="A123" s="10"/>
      <c r="B123" s="11"/>
      <c r="C123" s="11"/>
      <c r="D123" s="11"/>
      <c r="E123" s="11"/>
      <c r="F123" s="11"/>
      <c r="G123" s="11"/>
      <c r="H123" s="15" t="str">
        <f aca="false">IF(OR(D123="",F123=""),"",IF(F123&lt;=1,D123,D123*(1+F123/30)))</f>
        <v/>
      </c>
      <c r="I123" s="15" t="str">
        <f aca="false">IF(OR(D123="",F123="",G123=""),"",IF(F123+MAX(0,10-G123)&lt;=1,D123,D123*(1+(F123+MAX(0,10-G123))/30)))</f>
        <v/>
      </c>
      <c r="J123" s="16" t="str">
        <f aca="false">IF(A123="","",IF(AND(C123="yes",N(G123)&gt;=7),N(E123),0))</f>
        <v/>
      </c>
      <c r="K123" s="17" t="str">
        <f aca="false">IF(A123="","",A123-WEEKDAY(A123,3))</f>
        <v/>
      </c>
      <c r="L123" s="11"/>
    </row>
    <row r="124" customFormat="false" ht="15" hidden="false" customHeight="false" outlineLevel="0" collapsed="false">
      <c r="A124" s="10"/>
      <c r="B124" s="11"/>
      <c r="C124" s="11"/>
      <c r="D124" s="11"/>
      <c r="E124" s="11"/>
      <c r="F124" s="11"/>
      <c r="G124" s="11"/>
      <c r="H124" s="15" t="str">
        <f aca="false">IF(OR(D124="",F124=""),"",IF(F124&lt;=1,D124,D124*(1+F124/30)))</f>
        <v/>
      </c>
      <c r="I124" s="15" t="str">
        <f aca="false">IF(OR(D124="",F124="",G124=""),"",IF(F124+MAX(0,10-G124)&lt;=1,D124,D124*(1+(F124+MAX(0,10-G124))/30)))</f>
        <v/>
      </c>
      <c r="J124" s="16" t="str">
        <f aca="false">IF(A124="","",IF(AND(C124="yes",N(G124)&gt;=7),N(E124),0))</f>
        <v/>
      </c>
      <c r="K124" s="17" t="str">
        <f aca="false">IF(A124="","",A124-WEEKDAY(A124,3))</f>
        <v/>
      </c>
      <c r="L124" s="11"/>
    </row>
    <row r="125" customFormat="false" ht="15" hidden="false" customHeight="false" outlineLevel="0" collapsed="false">
      <c r="A125" s="10"/>
      <c r="B125" s="11"/>
      <c r="C125" s="11"/>
      <c r="D125" s="11"/>
      <c r="E125" s="11"/>
      <c r="F125" s="11"/>
      <c r="G125" s="11"/>
      <c r="H125" s="15" t="str">
        <f aca="false">IF(OR(D125="",F125=""),"",IF(F125&lt;=1,D125,D125*(1+F125/30)))</f>
        <v/>
      </c>
      <c r="I125" s="15" t="str">
        <f aca="false">IF(OR(D125="",F125="",G125=""),"",IF(F125+MAX(0,10-G125)&lt;=1,D125,D125*(1+(F125+MAX(0,10-G125))/30)))</f>
        <v/>
      </c>
      <c r="J125" s="16" t="str">
        <f aca="false">IF(A125="","",IF(AND(C125="yes",N(G125)&gt;=7),N(E125),0))</f>
        <v/>
      </c>
      <c r="K125" s="17" t="str">
        <f aca="false">IF(A125="","",A125-WEEKDAY(A125,3))</f>
        <v/>
      </c>
      <c r="L125" s="11"/>
    </row>
    <row r="126" customFormat="false" ht="15" hidden="false" customHeight="false" outlineLevel="0" collapsed="false">
      <c r="A126" s="10"/>
      <c r="B126" s="11"/>
      <c r="C126" s="11"/>
      <c r="D126" s="11"/>
      <c r="E126" s="11"/>
      <c r="F126" s="11"/>
      <c r="G126" s="11"/>
      <c r="H126" s="15" t="str">
        <f aca="false">IF(OR(D126="",F126=""),"",IF(F126&lt;=1,D126,D126*(1+F126/30)))</f>
        <v/>
      </c>
      <c r="I126" s="15" t="str">
        <f aca="false">IF(OR(D126="",F126="",G126=""),"",IF(F126+MAX(0,10-G126)&lt;=1,D126,D126*(1+(F126+MAX(0,10-G126))/30)))</f>
        <v/>
      </c>
      <c r="J126" s="16" t="str">
        <f aca="false">IF(A126="","",IF(AND(C126="yes",N(G126)&gt;=7),N(E126),0))</f>
        <v/>
      </c>
      <c r="K126" s="17" t="str">
        <f aca="false">IF(A126="","",A126-WEEKDAY(A126,3))</f>
        <v/>
      </c>
      <c r="L126" s="11"/>
    </row>
    <row r="127" customFormat="false" ht="15" hidden="false" customHeight="false" outlineLevel="0" collapsed="false">
      <c r="A127" s="10"/>
      <c r="B127" s="11"/>
      <c r="C127" s="11"/>
      <c r="D127" s="11"/>
      <c r="E127" s="11"/>
      <c r="F127" s="11"/>
      <c r="G127" s="11"/>
      <c r="H127" s="15" t="str">
        <f aca="false">IF(OR(D127="",F127=""),"",IF(F127&lt;=1,D127,D127*(1+F127/30)))</f>
        <v/>
      </c>
      <c r="I127" s="15" t="str">
        <f aca="false">IF(OR(D127="",F127="",G127=""),"",IF(F127+MAX(0,10-G127)&lt;=1,D127,D127*(1+(F127+MAX(0,10-G127))/30)))</f>
        <v/>
      </c>
      <c r="J127" s="16" t="str">
        <f aca="false">IF(A127="","",IF(AND(C127="yes",N(G127)&gt;=7),N(E127),0))</f>
        <v/>
      </c>
      <c r="K127" s="17" t="str">
        <f aca="false">IF(A127="","",A127-WEEKDAY(A127,3))</f>
        <v/>
      </c>
      <c r="L127" s="11"/>
    </row>
    <row r="128" customFormat="false" ht="15" hidden="false" customHeight="false" outlineLevel="0" collapsed="false">
      <c r="A128" s="10"/>
      <c r="B128" s="11"/>
      <c r="C128" s="11"/>
      <c r="D128" s="11"/>
      <c r="E128" s="11"/>
      <c r="F128" s="11"/>
      <c r="G128" s="11"/>
      <c r="H128" s="15" t="str">
        <f aca="false">IF(OR(D128="",F128=""),"",IF(F128&lt;=1,D128,D128*(1+F128/30)))</f>
        <v/>
      </c>
      <c r="I128" s="15" t="str">
        <f aca="false">IF(OR(D128="",F128="",G128=""),"",IF(F128+MAX(0,10-G128)&lt;=1,D128,D128*(1+(F128+MAX(0,10-G128))/30)))</f>
        <v/>
      </c>
      <c r="J128" s="16" t="str">
        <f aca="false">IF(A128="","",IF(AND(C128="yes",N(G128)&gt;=7),N(E128),0))</f>
        <v/>
      </c>
      <c r="K128" s="17" t="str">
        <f aca="false">IF(A128="","",A128-WEEKDAY(A128,3))</f>
        <v/>
      </c>
      <c r="L128" s="11"/>
    </row>
    <row r="129" customFormat="false" ht="15" hidden="false" customHeight="false" outlineLevel="0" collapsed="false">
      <c r="A129" s="10"/>
      <c r="B129" s="11"/>
      <c r="C129" s="11"/>
      <c r="D129" s="11"/>
      <c r="E129" s="11"/>
      <c r="F129" s="11"/>
      <c r="G129" s="11"/>
      <c r="H129" s="15" t="str">
        <f aca="false">IF(OR(D129="",F129=""),"",IF(F129&lt;=1,D129,D129*(1+F129/30)))</f>
        <v/>
      </c>
      <c r="I129" s="15" t="str">
        <f aca="false">IF(OR(D129="",F129="",G129=""),"",IF(F129+MAX(0,10-G129)&lt;=1,D129,D129*(1+(F129+MAX(0,10-G129))/30)))</f>
        <v/>
      </c>
      <c r="J129" s="16" t="str">
        <f aca="false">IF(A129="","",IF(AND(C129="yes",N(G129)&gt;=7),N(E129),0))</f>
        <v/>
      </c>
      <c r="K129" s="17" t="str">
        <f aca="false">IF(A129="","",A129-WEEKDAY(A129,3))</f>
        <v/>
      </c>
      <c r="L129" s="11"/>
    </row>
    <row r="130" customFormat="false" ht="15" hidden="false" customHeight="false" outlineLevel="0" collapsed="false">
      <c r="A130" s="10"/>
      <c r="B130" s="11"/>
      <c r="C130" s="11"/>
      <c r="D130" s="11"/>
      <c r="E130" s="11"/>
      <c r="F130" s="11"/>
      <c r="G130" s="11"/>
      <c r="H130" s="15" t="str">
        <f aca="false">IF(OR(D130="",F130=""),"",IF(F130&lt;=1,D130,D130*(1+F130/30)))</f>
        <v/>
      </c>
      <c r="I130" s="15" t="str">
        <f aca="false">IF(OR(D130="",F130="",G130=""),"",IF(F130+MAX(0,10-G130)&lt;=1,D130,D130*(1+(F130+MAX(0,10-G130))/30)))</f>
        <v/>
      </c>
      <c r="J130" s="16" t="str">
        <f aca="false">IF(A130="","",IF(AND(C130="yes",N(G130)&gt;=7),N(E130),0))</f>
        <v/>
      </c>
      <c r="K130" s="17" t="str">
        <f aca="false">IF(A130="","",A130-WEEKDAY(A130,3))</f>
        <v/>
      </c>
      <c r="L130" s="11"/>
    </row>
    <row r="131" customFormat="false" ht="15" hidden="false" customHeight="false" outlineLevel="0" collapsed="false">
      <c r="A131" s="10"/>
      <c r="B131" s="11"/>
      <c r="C131" s="11"/>
      <c r="D131" s="11"/>
      <c r="E131" s="11"/>
      <c r="F131" s="11"/>
      <c r="G131" s="11"/>
      <c r="H131" s="15" t="str">
        <f aca="false">IF(OR(D131="",F131=""),"",IF(F131&lt;=1,D131,D131*(1+F131/30)))</f>
        <v/>
      </c>
      <c r="I131" s="15" t="str">
        <f aca="false">IF(OR(D131="",F131="",G131=""),"",IF(F131+MAX(0,10-G131)&lt;=1,D131,D131*(1+(F131+MAX(0,10-G131))/30)))</f>
        <v/>
      </c>
      <c r="J131" s="16" t="str">
        <f aca="false">IF(A131="","",IF(AND(C131="yes",N(G131)&gt;=7),N(E131),0))</f>
        <v/>
      </c>
      <c r="K131" s="17" t="str">
        <f aca="false">IF(A131="","",A131-WEEKDAY(A131,3))</f>
        <v/>
      </c>
      <c r="L131" s="11"/>
    </row>
    <row r="132" customFormat="false" ht="15" hidden="false" customHeight="false" outlineLevel="0" collapsed="false">
      <c r="A132" s="10"/>
      <c r="B132" s="11"/>
      <c r="C132" s="11"/>
      <c r="D132" s="11"/>
      <c r="E132" s="11"/>
      <c r="F132" s="11"/>
      <c r="G132" s="11"/>
      <c r="H132" s="15" t="str">
        <f aca="false">IF(OR(D132="",F132=""),"",IF(F132&lt;=1,D132,D132*(1+F132/30)))</f>
        <v/>
      </c>
      <c r="I132" s="15" t="str">
        <f aca="false">IF(OR(D132="",F132="",G132=""),"",IF(F132+MAX(0,10-G132)&lt;=1,D132,D132*(1+(F132+MAX(0,10-G132))/30)))</f>
        <v/>
      </c>
      <c r="J132" s="16" t="str">
        <f aca="false">IF(A132="","",IF(AND(C132="yes",N(G132)&gt;=7),N(E132),0))</f>
        <v/>
      </c>
      <c r="K132" s="17" t="str">
        <f aca="false">IF(A132="","",A132-WEEKDAY(A132,3))</f>
        <v/>
      </c>
      <c r="L132" s="11"/>
    </row>
    <row r="133" customFormat="false" ht="15" hidden="false" customHeight="false" outlineLevel="0" collapsed="false">
      <c r="A133" s="10"/>
      <c r="B133" s="11"/>
      <c r="C133" s="11"/>
      <c r="D133" s="11"/>
      <c r="E133" s="11"/>
      <c r="F133" s="11"/>
      <c r="G133" s="11"/>
      <c r="H133" s="15" t="str">
        <f aca="false">IF(OR(D133="",F133=""),"",IF(F133&lt;=1,D133,D133*(1+F133/30)))</f>
        <v/>
      </c>
      <c r="I133" s="15" t="str">
        <f aca="false">IF(OR(D133="",F133="",G133=""),"",IF(F133+MAX(0,10-G133)&lt;=1,D133,D133*(1+(F133+MAX(0,10-G133))/30)))</f>
        <v/>
      </c>
      <c r="J133" s="16" t="str">
        <f aca="false">IF(A133="","",IF(AND(C133="yes",N(G133)&gt;=7),N(E133),0))</f>
        <v/>
      </c>
      <c r="K133" s="17" t="str">
        <f aca="false">IF(A133="","",A133-WEEKDAY(A133,3))</f>
        <v/>
      </c>
      <c r="L133" s="11"/>
    </row>
    <row r="134" customFormat="false" ht="15" hidden="false" customHeight="false" outlineLevel="0" collapsed="false">
      <c r="A134" s="10"/>
      <c r="B134" s="11"/>
      <c r="C134" s="11"/>
      <c r="D134" s="11"/>
      <c r="E134" s="11"/>
      <c r="F134" s="11"/>
      <c r="G134" s="11"/>
      <c r="H134" s="15" t="str">
        <f aca="false">IF(OR(D134="",F134=""),"",IF(F134&lt;=1,D134,D134*(1+F134/30)))</f>
        <v/>
      </c>
      <c r="I134" s="15" t="str">
        <f aca="false">IF(OR(D134="",F134="",G134=""),"",IF(F134+MAX(0,10-G134)&lt;=1,D134,D134*(1+(F134+MAX(0,10-G134))/30)))</f>
        <v/>
      </c>
      <c r="J134" s="16" t="str">
        <f aca="false">IF(A134="","",IF(AND(C134="yes",N(G134)&gt;=7),N(E134),0))</f>
        <v/>
      </c>
      <c r="K134" s="17" t="str">
        <f aca="false">IF(A134="","",A134-WEEKDAY(A134,3))</f>
        <v/>
      </c>
      <c r="L134" s="11"/>
    </row>
    <row r="135" customFormat="false" ht="15" hidden="false" customHeight="false" outlineLevel="0" collapsed="false">
      <c r="A135" s="10"/>
      <c r="B135" s="11"/>
      <c r="C135" s="11"/>
      <c r="D135" s="11"/>
      <c r="E135" s="11"/>
      <c r="F135" s="11"/>
      <c r="G135" s="11"/>
      <c r="H135" s="15" t="str">
        <f aca="false">IF(OR(D135="",F135=""),"",IF(F135&lt;=1,D135,D135*(1+F135/30)))</f>
        <v/>
      </c>
      <c r="I135" s="15" t="str">
        <f aca="false">IF(OR(D135="",F135="",G135=""),"",IF(F135+MAX(0,10-G135)&lt;=1,D135,D135*(1+(F135+MAX(0,10-G135))/30)))</f>
        <v/>
      </c>
      <c r="J135" s="16" t="str">
        <f aca="false">IF(A135="","",IF(AND(C135="yes",N(G135)&gt;=7),N(E135),0))</f>
        <v/>
      </c>
      <c r="K135" s="17" t="str">
        <f aca="false">IF(A135="","",A135-WEEKDAY(A135,3))</f>
        <v/>
      </c>
      <c r="L135" s="11"/>
    </row>
    <row r="136" customFormat="false" ht="15" hidden="false" customHeight="false" outlineLevel="0" collapsed="false">
      <c r="A136" s="10"/>
      <c r="B136" s="11"/>
      <c r="C136" s="11"/>
      <c r="D136" s="11"/>
      <c r="E136" s="11"/>
      <c r="F136" s="11"/>
      <c r="G136" s="11"/>
      <c r="H136" s="15" t="str">
        <f aca="false">IF(OR(D136="",F136=""),"",IF(F136&lt;=1,D136,D136*(1+F136/30)))</f>
        <v/>
      </c>
      <c r="I136" s="15" t="str">
        <f aca="false">IF(OR(D136="",F136="",G136=""),"",IF(F136+MAX(0,10-G136)&lt;=1,D136,D136*(1+(F136+MAX(0,10-G136))/30)))</f>
        <v/>
      </c>
      <c r="J136" s="16" t="str">
        <f aca="false">IF(A136="","",IF(AND(C136="yes",N(G136)&gt;=7),N(E136),0))</f>
        <v/>
      </c>
      <c r="K136" s="17" t="str">
        <f aca="false">IF(A136="","",A136-WEEKDAY(A136,3))</f>
        <v/>
      </c>
      <c r="L136" s="11"/>
    </row>
    <row r="137" customFormat="false" ht="15" hidden="false" customHeight="false" outlineLevel="0" collapsed="false">
      <c r="A137" s="10"/>
      <c r="B137" s="11"/>
      <c r="C137" s="11"/>
      <c r="D137" s="11"/>
      <c r="E137" s="11"/>
      <c r="F137" s="11"/>
      <c r="G137" s="11"/>
      <c r="H137" s="15" t="str">
        <f aca="false">IF(OR(D137="",F137=""),"",IF(F137&lt;=1,D137,D137*(1+F137/30)))</f>
        <v/>
      </c>
      <c r="I137" s="15" t="str">
        <f aca="false">IF(OR(D137="",F137="",G137=""),"",IF(F137+MAX(0,10-G137)&lt;=1,D137,D137*(1+(F137+MAX(0,10-G137))/30)))</f>
        <v/>
      </c>
      <c r="J137" s="16" t="str">
        <f aca="false">IF(A137="","",IF(AND(C137="yes",N(G137)&gt;=7),N(E137),0))</f>
        <v/>
      </c>
      <c r="K137" s="17" t="str">
        <f aca="false">IF(A137="","",A137-WEEKDAY(A137,3))</f>
        <v/>
      </c>
      <c r="L137" s="11"/>
    </row>
    <row r="138" customFormat="false" ht="15" hidden="false" customHeight="false" outlineLevel="0" collapsed="false">
      <c r="A138" s="10"/>
      <c r="B138" s="11"/>
      <c r="C138" s="11"/>
      <c r="D138" s="11"/>
      <c r="E138" s="11"/>
      <c r="F138" s="11"/>
      <c r="G138" s="11"/>
      <c r="H138" s="15" t="str">
        <f aca="false">IF(OR(D138="",F138=""),"",IF(F138&lt;=1,D138,D138*(1+F138/30)))</f>
        <v/>
      </c>
      <c r="I138" s="15" t="str">
        <f aca="false">IF(OR(D138="",F138="",G138=""),"",IF(F138+MAX(0,10-G138)&lt;=1,D138,D138*(1+(F138+MAX(0,10-G138))/30)))</f>
        <v/>
      </c>
      <c r="J138" s="16" t="str">
        <f aca="false">IF(A138="","",IF(AND(C138="yes",N(G138)&gt;=7),N(E138),0))</f>
        <v/>
      </c>
      <c r="K138" s="17" t="str">
        <f aca="false">IF(A138="","",A138-WEEKDAY(A138,3))</f>
        <v/>
      </c>
      <c r="L138" s="11"/>
    </row>
    <row r="139" customFormat="false" ht="15" hidden="false" customHeight="false" outlineLevel="0" collapsed="false">
      <c r="A139" s="10"/>
      <c r="B139" s="11"/>
      <c r="C139" s="11"/>
      <c r="D139" s="11"/>
      <c r="E139" s="11"/>
      <c r="F139" s="11"/>
      <c r="G139" s="11"/>
      <c r="H139" s="15" t="str">
        <f aca="false">IF(OR(D139="",F139=""),"",IF(F139&lt;=1,D139,D139*(1+F139/30)))</f>
        <v/>
      </c>
      <c r="I139" s="15" t="str">
        <f aca="false">IF(OR(D139="",F139="",G139=""),"",IF(F139+MAX(0,10-G139)&lt;=1,D139,D139*(1+(F139+MAX(0,10-G139))/30)))</f>
        <v/>
      </c>
      <c r="J139" s="16" t="str">
        <f aca="false">IF(A139="","",IF(AND(C139="yes",N(G139)&gt;=7),N(E139),0))</f>
        <v/>
      </c>
      <c r="K139" s="17" t="str">
        <f aca="false">IF(A139="","",A139-WEEKDAY(A139,3))</f>
        <v/>
      </c>
      <c r="L139" s="11"/>
    </row>
    <row r="140" customFormat="false" ht="15" hidden="false" customHeight="false" outlineLevel="0" collapsed="false">
      <c r="A140" s="10"/>
      <c r="B140" s="11"/>
      <c r="C140" s="11"/>
      <c r="D140" s="11"/>
      <c r="E140" s="11"/>
      <c r="F140" s="11"/>
      <c r="G140" s="11"/>
      <c r="H140" s="15" t="str">
        <f aca="false">IF(OR(D140="",F140=""),"",IF(F140&lt;=1,D140,D140*(1+F140/30)))</f>
        <v/>
      </c>
      <c r="I140" s="15" t="str">
        <f aca="false">IF(OR(D140="",F140="",G140=""),"",IF(F140+MAX(0,10-G140)&lt;=1,D140,D140*(1+(F140+MAX(0,10-G140))/30)))</f>
        <v/>
      </c>
      <c r="J140" s="16" t="str">
        <f aca="false">IF(A140="","",IF(AND(C140="yes",N(G140)&gt;=7),N(E140),0))</f>
        <v/>
      </c>
      <c r="K140" s="17" t="str">
        <f aca="false">IF(A140="","",A140-WEEKDAY(A140,3))</f>
        <v/>
      </c>
      <c r="L140" s="11"/>
    </row>
    <row r="141" customFormat="false" ht="15" hidden="false" customHeight="false" outlineLevel="0" collapsed="false">
      <c r="A141" s="10"/>
      <c r="B141" s="11"/>
      <c r="C141" s="11"/>
      <c r="D141" s="11"/>
      <c r="E141" s="11"/>
      <c r="F141" s="11"/>
      <c r="G141" s="11"/>
      <c r="H141" s="15" t="str">
        <f aca="false">IF(OR(D141="",F141=""),"",IF(F141&lt;=1,D141,D141*(1+F141/30)))</f>
        <v/>
      </c>
      <c r="I141" s="15" t="str">
        <f aca="false">IF(OR(D141="",F141="",G141=""),"",IF(F141+MAX(0,10-G141)&lt;=1,D141,D141*(1+(F141+MAX(0,10-G141))/30)))</f>
        <v/>
      </c>
      <c r="J141" s="16" t="str">
        <f aca="false">IF(A141="","",IF(AND(C141="yes",N(G141)&gt;=7),N(E141),0))</f>
        <v/>
      </c>
      <c r="K141" s="17" t="str">
        <f aca="false">IF(A141="","",A141-WEEKDAY(A141,3))</f>
        <v/>
      </c>
      <c r="L141" s="11"/>
    </row>
    <row r="142" customFormat="false" ht="15" hidden="false" customHeight="false" outlineLevel="0" collapsed="false">
      <c r="A142" s="10"/>
      <c r="B142" s="11"/>
      <c r="C142" s="11"/>
      <c r="D142" s="11"/>
      <c r="E142" s="11"/>
      <c r="F142" s="11"/>
      <c r="G142" s="11"/>
      <c r="H142" s="15" t="str">
        <f aca="false">IF(OR(D142="",F142=""),"",IF(F142&lt;=1,D142,D142*(1+F142/30)))</f>
        <v/>
      </c>
      <c r="I142" s="15" t="str">
        <f aca="false">IF(OR(D142="",F142="",G142=""),"",IF(F142+MAX(0,10-G142)&lt;=1,D142,D142*(1+(F142+MAX(0,10-G142))/30)))</f>
        <v/>
      </c>
      <c r="J142" s="16" t="str">
        <f aca="false">IF(A142="","",IF(AND(C142="yes",N(G142)&gt;=7),N(E142),0))</f>
        <v/>
      </c>
      <c r="K142" s="17" t="str">
        <f aca="false">IF(A142="","",A142-WEEKDAY(A142,3))</f>
        <v/>
      </c>
      <c r="L142" s="11"/>
    </row>
    <row r="143" customFormat="false" ht="15" hidden="false" customHeight="false" outlineLevel="0" collapsed="false">
      <c r="A143" s="10"/>
      <c r="B143" s="11"/>
      <c r="C143" s="11"/>
      <c r="D143" s="11"/>
      <c r="E143" s="11"/>
      <c r="F143" s="11"/>
      <c r="G143" s="11"/>
      <c r="H143" s="15" t="str">
        <f aca="false">IF(OR(D143="",F143=""),"",IF(F143&lt;=1,D143,D143*(1+F143/30)))</f>
        <v/>
      </c>
      <c r="I143" s="15" t="str">
        <f aca="false">IF(OR(D143="",F143="",G143=""),"",IF(F143+MAX(0,10-G143)&lt;=1,D143,D143*(1+(F143+MAX(0,10-G143))/30)))</f>
        <v/>
      </c>
      <c r="J143" s="16" t="str">
        <f aca="false">IF(A143="","",IF(AND(C143="yes",N(G143)&gt;=7),N(E143),0))</f>
        <v/>
      </c>
      <c r="K143" s="17" t="str">
        <f aca="false">IF(A143="","",A143-WEEKDAY(A143,3))</f>
        <v/>
      </c>
      <c r="L143" s="11"/>
    </row>
    <row r="144" customFormat="false" ht="15" hidden="false" customHeight="false" outlineLevel="0" collapsed="false">
      <c r="A144" s="10"/>
      <c r="B144" s="11"/>
      <c r="C144" s="11"/>
      <c r="D144" s="11"/>
      <c r="E144" s="11"/>
      <c r="F144" s="11"/>
      <c r="G144" s="11"/>
      <c r="H144" s="15" t="str">
        <f aca="false">IF(OR(D144="",F144=""),"",IF(F144&lt;=1,D144,D144*(1+F144/30)))</f>
        <v/>
      </c>
      <c r="I144" s="15" t="str">
        <f aca="false">IF(OR(D144="",F144="",G144=""),"",IF(F144+MAX(0,10-G144)&lt;=1,D144,D144*(1+(F144+MAX(0,10-G144))/30)))</f>
        <v/>
      </c>
      <c r="J144" s="16" t="str">
        <f aca="false">IF(A144="","",IF(AND(C144="yes",N(G144)&gt;=7),N(E144),0))</f>
        <v/>
      </c>
      <c r="K144" s="17" t="str">
        <f aca="false">IF(A144="","",A144-WEEKDAY(A144,3))</f>
        <v/>
      </c>
      <c r="L144" s="11"/>
    </row>
    <row r="145" customFormat="false" ht="15" hidden="false" customHeight="false" outlineLevel="0" collapsed="false">
      <c r="A145" s="10"/>
      <c r="B145" s="11"/>
      <c r="C145" s="11"/>
      <c r="D145" s="11"/>
      <c r="E145" s="11"/>
      <c r="F145" s="11"/>
      <c r="G145" s="11"/>
      <c r="H145" s="15" t="str">
        <f aca="false">IF(OR(D145="",F145=""),"",IF(F145&lt;=1,D145,D145*(1+F145/30)))</f>
        <v/>
      </c>
      <c r="I145" s="15" t="str">
        <f aca="false">IF(OR(D145="",F145="",G145=""),"",IF(F145+MAX(0,10-G145)&lt;=1,D145,D145*(1+(F145+MAX(0,10-G145))/30)))</f>
        <v/>
      </c>
      <c r="J145" s="16" t="str">
        <f aca="false">IF(A145="","",IF(AND(C145="yes",N(G145)&gt;=7),N(E145),0))</f>
        <v/>
      </c>
      <c r="K145" s="17" t="str">
        <f aca="false">IF(A145="","",A145-WEEKDAY(A145,3))</f>
        <v/>
      </c>
      <c r="L145" s="11"/>
    </row>
    <row r="146" customFormat="false" ht="15" hidden="false" customHeight="false" outlineLevel="0" collapsed="false">
      <c r="A146" s="10"/>
      <c r="B146" s="11"/>
      <c r="C146" s="11"/>
      <c r="D146" s="11"/>
      <c r="E146" s="11"/>
      <c r="F146" s="11"/>
      <c r="G146" s="11"/>
      <c r="H146" s="15" t="str">
        <f aca="false">IF(OR(D146="",F146=""),"",IF(F146&lt;=1,D146,D146*(1+F146/30)))</f>
        <v/>
      </c>
      <c r="I146" s="15" t="str">
        <f aca="false">IF(OR(D146="",F146="",G146=""),"",IF(F146+MAX(0,10-G146)&lt;=1,D146,D146*(1+(F146+MAX(0,10-G146))/30)))</f>
        <v/>
      </c>
      <c r="J146" s="16" t="str">
        <f aca="false">IF(A146="","",IF(AND(C146="yes",N(G146)&gt;=7),N(E146),0))</f>
        <v/>
      </c>
      <c r="K146" s="17" t="str">
        <f aca="false">IF(A146="","",A146-WEEKDAY(A146,3))</f>
        <v/>
      </c>
      <c r="L146" s="11"/>
    </row>
    <row r="147" customFormat="false" ht="15" hidden="false" customHeight="false" outlineLevel="0" collapsed="false">
      <c r="A147" s="10"/>
      <c r="B147" s="11"/>
      <c r="C147" s="11"/>
      <c r="D147" s="11"/>
      <c r="E147" s="11"/>
      <c r="F147" s="11"/>
      <c r="G147" s="11"/>
      <c r="H147" s="15" t="str">
        <f aca="false">IF(OR(D147="",F147=""),"",IF(F147&lt;=1,D147,D147*(1+F147/30)))</f>
        <v/>
      </c>
      <c r="I147" s="15" t="str">
        <f aca="false">IF(OR(D147="",F147="",G147=""),"",IF(F147+MAX(0,10-G147)&lt;=1,D147,D147*(1+(F147+MAX(0,10-G147))/30)))</f>
        <v/>
      </c>
      <c r="J147" s="16" t="str">
        <f aca="false">IF(A147="","",IF(AND(C147="yes",N(G147)&gt;=7),N(E147),0))</f>
        <v/>
      </c>
      <c r="K147" s="17" t="str">
        <f aca="false">IF(A147="","",A147-WEEKDAY(A147,3))</f>
        <v/>
      </c>
      <c r="L147" s="11"/>
    </row>
    <row r="148" customFormat="false" ht="15" hidden="false" customHeight="false" outlineLevel="0" collapsed="false">
      <c r="A148" s="10"/>
      <c r="B148" s="11"/>
      <c r="C148" s="11"/>
      <c r="D148" s="11"/>
      <c r="E148" s="11"/>
      <c r="F148" s="11"/>
      <c r="G148" s="11"/>
      <c r="H148" s="15" t="str">
        <f aca="false">IF(OR(D148="",F148=""),"",IF(F148&lt;=1,D148,D148*(1+F148/30)))</f>
        <v/>
      </c>
      <c r="I148" s="15" t="str">
        <f aca="false">IF(OR(D148="",F148="",G148=""),"",IF(F148+MAX(0,10-G148)&lt;=1,D148,D148*(1+(F148+MAX(0,10-G148))/30)))</f>
        <v/>
      </c>
      <c r="J148" s="16" t="str">
        <f aca="false">IF(A148="","",IF(AND(C148="yes",N(G148)&gt;=7),N(E148),0))</f>
        <v/>
      </c>
      <c r="K148" s="17" t="str">
        <f aca="false">IF(A148="","",A148-WEEKDAY(A148,3))</f>
        <v/>
      </c>
      <c r="L148" s="11"/>
    </row>
    <row r="149" customFormat="false" ht="15" hidden="false" customHeight="false" outlineLevel="0" collapsed="false">
      <c r="A149" s="10"/>
      <c r="B149" s="11"/>
      <c r="C149" s="11"/>
      <c r="D149" s="11"/>
      <c r="E149" s="11"/>
      <c r="F149" s="11"/>
      <c r="G149" s="11"/>
      <c r="H149" s="15" t="str">
        <f aca="false">IF(OR(D149="",F149=""),"",IF(F149&lt;=1,D149,D149*(1+F149/30)))</f>
        <v/>
      </c>
      <c r="I149" s="15" t="str">
        <f aca="false">IF(OR(D149="",F149="",G149=""),"",IF(F149+MAX(0,10-G149)&lt;=1,D149,D149*(1+(F149+MAX(0,10-G149))/30)))</f>
        <v/>
      </c>
      <c r="J149" s="16" t="str">
        <f aca="false">IF(A149="","",IF(AND(C149="yes",N(G149)&gt;=7),N(E149),0))</f>
        <v/>
      </c>
      <c r="K149" s="17" t="str">
        <f aca="false">IF(A149="","",A149-WEEKDAY(A149,3))</f>
        <v/>
      </c>
      <c r="L149" s="11"/>
    </row>
    <row r="150" customFormat="false" ht="15" hidden="false" customHeight="false" outlineLevel="0" collapsed="false">
      <c r="A150" s="10"/>
      <c r="B150" s="11"/>
      <c r="C150" s="11"/>
      <c r="D150" s="11"/>
      <c r="E150" s="11"/>
      <c r="F150" s="11"/>
      <c r="G150" s="11"/>
      <c r="H150" s="15" t="str">
        <f aca="false">IF(OR(D150="",F150=""),"",IF(F150&lt;=1,D150,D150*(1+F150/30)))</f>
        <v/>
      </c>
      <c r="I150" s="15" t="str">
        <f aca="false">IF(OR(D150="",F150="",G150=""),"",IF(F150+MAX(0,10-G150)&lt;=1,D150,D150*(1+(F150+MAX(0,10-G150))/30)))</f>
        <v/>
      </c>
      <c r="J150" s="16" t="str">
        <f aca="false">IF(A150="","",IF(AND(C150="yes",N(G150)&gt;=7),N(E150),0))</f>
        <v/>
      </c>
      <c r="K150" s="17" t="str">
        <f aca="false">IF(A150="","",A150-WEEKDAY(A150,3))</f>
        <v/>
      </c>
      <c r="L150" s="11"/>
    </row>
    <row r="151" customFormat="false" ht="15" hidden="false" customHeight="false" outlineLevel="0" collapsed="false">
      <c r="A151" s="10"/>
      <c r="B151" s="11"/>
      <c r="C151" s="11"/>
      <c r="D151" s="11"/>
      <c r="E151" s="11"/>
      <c r="F151" s="11"/>
      <c r="G151" s="11"/>
      <c r="H151" s="15" t="str">
        <f aca="false">IF(OR(D151="",F151=""),"",IF(F151&lt;=1,D151,D151*(1+F151/30)))</f>
        <v/>
      </c>
      <c r="I151" s="15" t="str">
        <f aca="false">IF(OR(D151="",F151="",G151=""),"",IF(F151+MAX(0,10-G151)&lt;=1,D151,D151*(1+(F151+MAX(0,10-G151))/30)))</f>
        <v/>
      </c>
      <c r="J151" s="16" t="str">
        <f aca="false">IF(A151="","",IF(AND(C151="yes",N(G151)&gt;=7),N(E151),0))</f>
        <v/>
      </c>
      <c r="K151" s="17" t="str">
        <f aca="false">IF(A151="","",A151-WEEKDAY(A151,3))</f>
        <v/>
      </c>
      <c r="L151" s="11"/>
    </row>
    <row r="152" customFormat="false" ht="15" hidden="false" customHeight="false" outlineLevel="0" collapsed="false">
      <c r="A152" s="10"/>
      <c r="B152" s="11"/>
      <c r="C152" s="11"/>
      <c r="D152" s="11"/>
      <c r="E152" s="11"/>
      <c r="F152" s="11"/>
      <c r="G152" s="11"/>
      <c r="H152" s="15" t="str">
        <f aca="false">IF(OR(D152="",F152=""),"",IF(F152&lt;=1,D152,D152*(1+F152/30)))</f>
        <v/>
      </c>
      <c r="I152" s="15" t="str">
        <f aca="false">IF(OR(D152="",F152="",G152=""),"",IF(F152+MAX(0,10-G152)&lt;=1,D152,D152*(1+(F152+MAX(0,10-G152))/30)))</f>
        <v/>
      </c>
      <c r="J152" s="16" t="str">
        <f aca="false">IF(A152="","",IF(AND(C152="yes",N(G152)&gt;=7),N(E152),0))</f>
        <v/>
      </c>
      <c r="K152" s="17" t="str">
        <f aca="false">IF(A152="","",A152-WEEKDAY(A152,3))</f>
        <v/>
      </c>
      <c r="L152" s="11"/>
    </row>
    <row r="153" customFormat="false" ht="15" hidden="false" customHeight="false" outlineLevel="0" collapsed="false">
      <c r="A153" s="10"/>
      <c r="B153" s="11"/>
      <c r="C153" s="11"/>
      <c r="D153" s="11"/>
      <c r="E153" s="11"/>
      <c r="F153" s="11"/>
      <c r="G153" s="11"/>
      <c r="H153" s="15" t="str">
        <f aca="false">IF(OR(D153="",F153=""),"",IF(F153&lt;=1,D153,D153*(1+F153/30)))</f>
        <v/>
      </c>
      <c r="I153" s="15" t="str">
        <f aca="false">IF(OR(D153="",F153="",G153=""),"",IF(F153+MAX(0,10-G153)&lt;=1,D153,D153*(1+(F153+MAX(0,10-G153))/30)))</f>
        <v/>
      </c>
      <c r="J153" s="16" t="str">
        <f aca="false">IF(A153="","",IF(AND(C153="yes",N(G153)&gt;=7),N(E153),0))</f>
        <v/>
      </c>
      <c r="K153" s="17" t="str">
        <f aca="false">IF(A153="","",A153-WEEKDAY(A153,3))</f>
        <v/>
      </c>
      <c r="L153" s="11"/>
    </row>
    <row r="154" customFormat="false" ht="15" hidden="false" customHeight="false" outlineLevel="0" collapsed="false">
      <c r="A154" s="10"/>
      <c r="B154" s="11"/>
      <c r="C154" s="11"/>
      <c r="D154" s="11"/>
      <c r="E154" s="11"/>
      <c r="F154" s="11"/>
      <c r="G154" s="11"/>
      <c r="H154" s="15" t="str">
        <f aca="false">IF(OR(D154="",F154=""),"",IF(F154&lt;=1,D154,D154*(1+F154/30)))</f>
        <v/>
      </c>
      <c r="I154" s="15" t="str">
        <f aca="false">IF(OR(D154="",F154="",G154=""),"",IF(F154+MAX(0,10-G154)&lt;=1,D154,D154*(1+(F154+MAX(0,10-G154))/30)))</f>
        <v/>
      </c>
      <c r="J154" s="16" t="str">
        <f aca="false">IF(A154="","",IF(AND(C154="yes",N(G154)&gt;=7),N(E154),0))</f>
        <v/>
      </c>
      <c r="K154" s="17" t="str">
        <f aca="false">IF(A154="","",A154-WEEKDAY(A154,3))</f>
        <v/>
      </c>
      <c r="L154" s="11"/>
    </row>
    <row r="155" customFormat="false" ht="15" hidden="false" customHeight="false" outlineLevel="0" collapsed="false">
      <c r="A155" s="10"/>
      <c r="B155" s="11"/>
      <c r="C155" s="11"/>
      <c r="D155" s="11"/>
      <c r="E155" s="11"/>
      <c r="F155" s="11"/>
      <c r="G155" s="11"/>
      <c r="H155" s="15" t="str">
        <f aca="false">IF(OR(D155="",F155=""),"",IF(F155&lt;=1,D155,D155*(1+F155/30)))</f>
        <v/>
      </c>
      <c r="I155" s="15" t="str">
        <f aca="false">IF(OR(D155="",F155="",G155=""),"",IF(F155+MAX(0,10-G155)&lt;=1,D155,D155*(1+(F155+MAX(0,10-G155))/30)))</f>
        <v/>
      </c>
      <c r="J155" s="16" t="str">
        <f aca="false">IF(A155="","",IF(AND(C155="yes",N(G155)&gt;=7),N(E155),0))</f>
        <v/>
      </c>
      <c r="K155" s="17" t="str">
        <f aca="false">IF(A155="","",A155-WEEKDAY(A155,3))</f>
        <v/>
      </c>
      <c r="L155" s="11"/>
    </row>
    <row r="156" customFormat="false" ht="15" hidden="false" customHeight="false" outlineLevel="0" collapsed="false">
      <c r="A156" s="10"/>
      <c r="B156" s="11"/>
      <c r="C156" s="11"/>
      <c r="D156" s="11"/>
      <c r="E156" s="11"/>
      <c r="F156" s="11"/>
      <c r="G156" s="11"/>
      <c r="H156" s="15" t="str">
        <f aca="false">IF(OR(D156="",F156=""),"",IF(F156&lt;=1,D156,D156*(1+F156/30)))</f>
        <v/>
      </c>
      <c r="I156" s="15" t="str">
        <f aca="false">IF(OR(D156="",F156="",G156=""),"",IF(F156+MAX(0,10-G156)&lt;=1,D156,D156*(1+(F156+MAX(0,10-G156))/30)))</f>
        <v/>
      </c>
      <c r="J156" s="16" t="str">
        <f aca="false">IF(A156="","",IF(AND(C156="yes",N(G156)&gt;=7),N(E156),0))</f>
        <v/>
      </c>
      <c r="K156" s="17" t="str">
        <f aca="false">IF(A156="","",A156-WEEKDAY(A156,3))</f>
        <v/>
      </c>
      <c r="L156" s="11"/>
    </row>
    <row r="157" customFormat="false" ht="15" hidden="false" customHeight="false" outlineLevel="0" collapsed="false">
      <c r="A157" s="10"/>
      <c r="B157" s="11"/>
      <c r="C157" s="11"/>
      <c r="D157" s="11"/>
      <c r="E157" s="11"/>
      <c r="F157" s="11"/>
      <c r="G157" s="11"/>
      <c r="H157" s="15" t="str">
        <f aca="false">IF(OR(D157="",F157=""),"",IF(F157&lt;=1,D157,D157*(1+F157/30)))</f>
        <v/>
      </c>
      <c r="I157" s="15" t="str">
        <f aca="false">IF(OR(D157="",F157="",G157=""),"",IF(F157+MAX(0,10-G157)&lt;=1,D157,D157*(1+(F157+MAX(0,10-G157))/30)))</f>
        <v/>
      </c>
      <c r="J157" s="16" t="str">
        <f aca="false">IF(A157="","",IF(AND(C157="yes",N(G157)&gt;=7),N(E157),0))</f>
        <v/>
      </c>
      <c r="K157" s="17" t="str">
        <f aca="false">IF(A157="","",A157-WEEKDAY(A157,3))</f>
        <v/>
      </c>
      <c r="L157" s="11"/>
    </row>
    <row r="158" customFormat="false" ht="15" hidden="false" customHeight="false" outlineLevel="0" collapsed="false">
      <c r="A158" s="10"/>
      <c r="B158" s="11"/>
      <c r="C158" s="11"/>
      <c r="D158" s="11"/>
      <c r="E158" s="11"/>
      <c r="F158" s="11"/>
      <c r="G158" s="11"/>
      <c r="H158" s="15" t="str">
        <f aca="false">IF(OR(D158="",F158=""),"",IF(F158&lt;=1,D158,D158*(1+F158/30)))</f>
        <v/>
      </c>
      <c r="I158" s="15" t="str">
        <f aca="false">IF(OR(D158="",F158="",G158=""),"",IF(F158+MAX(0,10-G158)&lt;=1,D158,D158*(1+(F158+MAX(0,10-G158))/30)))</f>
        <v/>
      </c>
      <c r="J158" s="16" t="str">
        <f aca="false">IF(A158="","",IF(AND(C158="yes",N(G158)&gt;=7),N(E158),0))</f>
        <v/>
      </c>
      <c r="K158" s="17" t="str">
        <f aca="false">IF(A158="","",A158-WEEKDAY(A158,3))</f>
        <v/>
      </c>
      <c r="L158" s="11"/>
    </row>
    <row r="159" customFormat="false" ht="15" hidden="false" customHeight="false" outlineLevel="0" collapsed="false">
      <c r="A159" s="10"/>
      <c r="B159" s="11"/>
      <c r="C159" s="11"/>
      <c r="D159" s="11"/>
      <c r="E159" s="11"/>
      <c r="F159" s="11"/>
      <c r="G159" s="11"/>
      <c r="H159" s="15" t="str">
        <f aca="false">IF(OR(D159="",F159=""),"",IF(F159&lt;=1,D159,D159*(1+F159/30)))</f>
        <v/>
      </c>
      <c r="I159" s="15" t="str">
        <f aca="false">IF(OR(D159="",F159="",G159=""),"",IF(F159+MAX(0,10-G159)&lt;=1,D159,D159*(1+(F159+MAX(0,10-G159))/30)))</f>
        <v/>
      </c>
      <c r="J159" s="16" t="str">
        <f aca="false">IF(A159="","",IF(AND(C159="yes",N(G159)&gt;=7),N(E159),0))</f>
        <v/>
      </c>
      <c r="K159" s="17" t="str">
        <f aca="false">IF(A159="","",A159-WEEKDAY(A159,3))</f>
        <v/>
      </c>
      <c r="L159" s="11"/>
    </row>
    <row r="160" customFormat="false" ht="15" hidden="false" customHeight="false" outlineLevel="0" collapsed="false">
      <c r="A160" s="10"/>
      <c r="B160" s="11"/>
      <c r="C160" s="11"/>
      <c r="D160" s="11"/>
      <c r="E160" s="11"/>
      <c r="F160" s="11"/>
      <c r="G160" s="11"/>
      <c r="H160" s="15" t="str">
        <f aca="false">IF(OR(D160="",F160=""),"",IF(F160&lt;=1,D160,D160*(1+F160/30)))</f>
        <v/>
      </c>
      <c r="I160" s="15" t="str">
        <f aca="false">IF(OR(D160="",F160="",G160=""),"",IF(F160+MAX(0,10-G160)&lt;=1,D160,D160*(1+(F160+MAX(0,10-G160))/30)))</f>
        <v/>
      </c>
      <c r="J160" s="16" t="str">
        <f aca="false">IF(A160="","",IF(AND(C160="yes",N(G160)&gt;=7),N(E160),0))</f>
        <v/>
      </c>
      <c r="K160" s="17" t="str">
        <f aca="false">IF(A160="","",A160-WEEKDAY(A160,3))</f>
        <v/>
      </c>
      <c r="L160" s="11"/>
    </row>
    <row r="161" customFormat="false" ht="15" hidden="false" customHeight="false" outlineLevel="0" collapsed="false">
      <c r="A161" s="10"/>
      <c r="B161" s="11"/>
      <c r="C161" s="11"/>
      <c r="D161" s="11"/>
      <c r="E161" s="11"/>
      <c r="F161" s="11"/>
      <c r="G161" s="11"/>
      <c r="H161" s="15" t="str">
        <f aca="false">IF(OR(D161="",F161=""),"",IF(F161&lt;=1,D161,D161*(1+F161/30)))</f>
        <v/>
      </c>
      <c r="I161" s="15" t="str">
        <f aca="false">IF(OR(D161="",F161="",G161=""),"",IF(F161+MAX(0,10-G161)&lt;=1,D161,D161*(1+(F161+MAX(0,10-G161))/30)))</f>
        <v/>
      </c>
      <c r="J161" s="16" t="str">
        <f aca="false">IF(A161="","",IF(AND(C161="yes",N(G161)&gt;=7),N(E161),0))</f>
        <v/>
      </c>
      <c r="K161" s="17" t="str">
        <f aca="false">IF(A161="","",A161-WEEKDAY(A161,3))</f>
        <v/>
      </c>
      <c r="L161" s="11"/>
    </row>
    <row r="162" customFormat="false" ht="15" hidden="false" customHeight="false" outlineLevel="0" collapsed="false">
      <c r="A162" s="10"/>
      <c r="B162" s="11"/>
      <c r="C162" s="11"/>
      <c r="D162" s="11"/>
      <c r="E162" s="11"/>
      <c r="F162" s="11"/>
      <c r="G162" s="11"/>
      <c r="H162" s="15" t="str">
        <f aca="false">IF(OR(D162="",F162=""),"",IF(F162&lt;=1,D162,D162*(1+F162/30)))</f>
        <v/>
      </c>
      <c r="I162" s="15" t="str">
        <f aca="false">IF(OR(D162="",F162="",G162=""),"",IF(F162+MAX(0,10-G162)&lt;=1,D162,D162*(1+(F162+MAX(0,10-G162))/30)))</f>
        <v/>
      </c>
      <c r="J162" s="16" t="str">
        <f aca="false">IF(A162="","",IF(AND(C162="yes",N(G162)&gt;=7),N(E162),0))</f>
        <v/>
      </c>
      <c r="K162" s="17" t="str">
        <f aca="false">IF(A162="","",A162-WEEKDAY(A162,3))</f>
        <v/>
      </c>
      <c r="L162" s="11"/>
    </row>
    <row r="163" customFormat="false" ht="15" hidden="false" customHeight="false" outlineLevel="0" collapsed="false">
      <c r="A163" s="10"/>
      <c r="B163" s="11"/>
      <c r="C163" s="11"/>
      <c r="D163" s="11"/>
      <c r="E163" s="11"/>
      <c r="F163" s="11"/>
      <c r="G163" s="11"/>
      <c r="H163" s="15" t="str">
        <f aca="false">IF(OR(D163="",F163=""),"",IF(F163&lt;=1,D163,D163*(1+F163/30)))</f>
        <v/>
      </c>
      <c r="I163" s="15" t="str">
        <f aca="false">IF(OR(D163="",F163="",G163=""),"",IF(F163+MAX(0,10-G163)&lt;=1,D163,D163*(1+(F163+MAX(0,10-G163))/30)))</f>
        <v/>
      </c>
      <c r="J163" s="16" t="str">
        <f aca="false">IF(A163="","",IF(AND(C163="yes",N(G163)&gt;=7),N(E163),0))</f>
        <v/>
      </c>
      <c r="K163" s="17" t="str">
        <f aca="false">IF(A163="","",A163-WEEKDAY(A163,3))</f>
        <v/>
      </c>
      <c r="L163" s="11"/>
    </row>
    <row r="164" customFormat="false" ht="15" hidden="false" customHeight="false" outlineLevel="0" collapsed="false">
      <c r="A164" s="10"/>
      <c r="B164" s="11"/>
      <c r="C164" s="11"/>
      <c r="D164" s="11"/>
      <c r="E164" s="11"/>
      <c r="F164" s="11"/>
      <c r="G164" s="11"/>
      <c r="H164" s="15" t="str">
        <f aca="false">IF(OR(D164="",F164=""),"",IF(F164&lt;=1,D164,D164*(1+F164/30)))</f>
        <v/>
      </c>
      <c r="I164" s="15" t="str">
        <f aca="false">IF(OR(D164="",F164="",G164=""),"",IF(F164+MAX(0,10-G164)&lt;=1,D164,D164*(1+(F164+MAX(0,10-G164))/30)))</f>
        <v/>
      </c>
      <c r="J164" s="16" t="str">
        <f aca="false">IF(A164="","",IF(AND(C164="yes",N(G164)&gt;=7),N(E164),0))</f>
        <v/>
      </c>
      <c r="K164" s="17" t="str">
        <f aca="false">IF(A164="","",A164-WEEKDAY(A164,3))</f>
        <v/>
      </c>
      <c r="L164" s="11"/>
    </row>
    <row r="165" customFormat="false" ht="15" hidden="false" customHeight="false" outlineLevel="0" collapsed="false">
      <c r="A165" s="10"/>
      <c r="B165" s="11"/>
      <c r="C165" s="11"/>
      <c r="D165" s="11"/>
      <c r="E165" s="11"/>
      <c r="F165" s="11"/>
      <c r="G165" s="11"/>
      <c r="H165" s="15" t="str">
        <f aca="false">IF(OR(D165="",F165=""),"",IF(F165&lt;=1,D165,D165*(1+F165/30)))</f>
        <v/>
      </c>
      <c r="I165" s="15" t="str">
        <f aca="false">IF(OR(D165="",F165="",G165=""),"",IF(F165+MAX(0,10-G165)&lt;=1,D165,D165*(1+(F165+MAX(0,10-G165))/30)))</f>
        <v/>
      </c>
      <c r="J165" s="16" t="str">
        <f aca="false">IF(A165="","",IF(AND(C165="yes",N(G165)&gt;=7),N(E165),0))</f>
        <v/>
      </c>
      <c r="K165" s="17" t="str">
        <f aca="false">IF(A165="","",A165-WEEKDAY(A165,3))</f>
        <v/>
      </c>
      <c r="L165" s="11"/>
    </row>
    <row r="166" customFormat="false" ht="15" hidden="false" customHeight="false" outlineLevel="0" collapsed="false">
      <c r="A166" s="10"/>
      <c r="B166" s="11"/>
      <c r="C166" s="11"/>
      <c r="D166" s="11"/>
      <c r="E166" s="11"/>
      <c r="F166" s="11"/>
      <c r="G166" s="11"/>
      <c r="H166" s="15" t="str">
        <f aca="false">IF(OR(D166="",F166=""),"",IF(F166&lt;=1,D166,D166*(1+F166/30)))</f>
        <v/>
      </c>
      <c r="I166" s="15" t="str">
        <f aca="false">IF(OR(D166="",F166="",G166=""),"",IF(F166+MAX(0,10-G166)&lt;=1,D166,D166*(1+(F166+MAX(0,10-G166))/30)))</f>
        <v/>
      </c>
      <c r="J166" s="16" t="str">
        <f aca="false">IF(A166="","",IF(AND(C166="yes",N(G166)&gt;=7),N(E166),0))</f>
        <v/>
      </c>
      <c r="K166" s="17" t="str">
        <f aca="false">IF(A166="","",A166-WEEKDAY(A166,3))</f>
        <v/>
      </c>
      <c r="L166" s="11"/>
    </row>
    <row r="167" customFormat="false" ht="15" hidden="false" customHeight="false" outlineLevel="0" collapsed="false">
      <c r="A167" s="10"/>
      <c r="B167" s="11"/>
      <c r="C167" s="11"/>
      <c r="D167" s="11"/>
      <c r="E167" s="11"/>
      <c r="F167" s="11"/>
      <c r="G167" s="11"/>
      <c r="H167" s="15" t="str">
        <f aca="false">IF(OR(D167="",F167=""),"",IF(F167&lt;=1,D167,D167*(1+F167/30)))</f>
        <v/>
      </c>
      <c r="I167" s="15" t="str">
        <f aca="false">IF(OR(D167="",F167="",G167=""),"",IF(F167+MAX(0,10-G167)&lt;=1,D167,D167*(1+(F167+MAX(0,10-G167))/30)))</f>
        <v/>
      </c>
      <c r="J167" s="16" t="str">
        <f aca="false">IF(A167="","",IF(AND(C167="yes",N(G167)&gt;=7),N(E167),0))</f>
        <v/>
      </c>
      <c r="K167" s="17" t="str">
        <f aca="false">IF(A167="","",A167-WEEKDAY(A167,3))</f>
        <v/>
      </c>
      <c r="L167" s="11"/>
    </row>
    <row r="168" customFormat="false" ht="15" hidden="false" customHeight="false" outlineLevel="0" collapsed="false">
      <c r="A168" s="10"/>
      <c r="B168" s="11"/>
      <c r="C168" s="11"/>
      <c r="D168" s="11"/>
      <c r="E168" s="11"/>
      <c r="F168" s="11"/>
      <c r="G168" s="11"/>
      <c r="H168" s="15" t="str">
        <f aca="false">IF(OR(D168="",F168=""),"",IF(F168&lt;=1,D168,D168*(1+F168/30)))</f>
        <v/>
      </c>
      <c r="I168" s="15" t="str">
        <f aca="false">IF(OR(D168="",F168="",G168=""),"",IF(F168+MAX(0,10-G168)&lt;=1,D168,D168*(1+(F168+MAX(0,10-G168))/30)))</f>
        <v/>
      </c>
      <c r="J168" s="16" t="str">
        <f aca="false">IF(A168="","",IF(AND(C168="yes",N(G168)&gt;=7),N(E168),0))</f>
        <v/>
      </c>
      <c r="K168" s="17" t="str">
        <f aca="false">IF(A168="","",A168-WEEKDAY(A168,3))</f>
        <v/>
      </c>
      <c r="L168" s="11"/>
    </row>
    <row r="169" customFormat="false" ht="15" hidden="false" customHeight="false" outlineLevel="0" collapsed="false">
      <c r="A169" s="10"/>
      <c r="B169" s="11"/>
      <c r="C169" s="11"/>
      <c r="D169" s="11"/>
      <c r="E169" s="11"/>
      <c r="F169" s="11"/>
      <c r="G169" s="11"/>
      <c r="H169" s="15" t="str">
        <f aca="false">IF(OR(D169="",F169=""),"",IF(F169&lt;=1,D169,D169*(1+F169/30)))</f>
        <v/>
      </c>
      <c r="I169" s="15" t="str">
        <f aca="false">IF(OR(D169="",F169="",G169=""),"",IF(F169+MAX(0,10-G169)&lt;=1,D169,D169*(1+(F169+MAX(0,10-G169))/30)))</f>
        <v/>
      </c>
      <c r="J169" s="16" t="str">
        <f aca="false">IF(A169="","",IF(AND(C169="yes",N(G169)&gt;=7),N(E169),0))</f>
        <v/>
      </c>
      <c r="K169" s="17" t="str">
        <f aca="false">IF(A169="","",A169-WEEKDAY(A169,3))</f>
        <v/>
      </c>
      <c r="L169" s="11"/>
    </row>
    <row r="170" customFormat="false" ht="15" hidden="false" customHeight="false" outlineLevel="0" collapsed="false">
      <c r="A170" s="10"/>
      <c r="B170" s="11"/>
      <c r="C170" s="11"/>
      <c r="D170" s="11"/>
      <c r="E170" s="11"/>
      <c r="F170" s="11"/>
      <c r="G170" s="11"/>
      <c r="H170" s="15" t="str">
        <f aca="false">IF(OR(D170="",F170=""),"",IF(F170&lt;=1,D170,D170*(1+F170/30)))</f>
        <v/>
      </c>
      <c r="I170" s="15" t="str">
        <f aca="false">IF(OR(D170="",F170="",G170=""),"",IF(F170+MAX(0,10-G170)&lt;=1,D170,D170*(1+(F170+MAX(0,10-G170))/30)))</f>
        <v/>
      </c>
      <c r="J170" s="16" t="str">
        <f aca="false">IF(A170="","",IF(AND(C170="yes",N(G170)&gt;=7),N(E170),0))</f>
        <v/>
      </c>
      <c r="K170" s="17" t="str">
        <f aca="false">IF(A170="","",A170-WEEKDAY(A170,3))</f>
        <v/>
      </c>
      <c r="L170" s="11"/>
    </row>
    <row r="171" customFormat="false" ht="15" hidden="false" customHeight="false" outlineLevel="0" collapsed="false">
      <c r="A171" s="10"/>
      <c r="B171" s="11"/>
      <c r="C171" s="11"/>
      <c r="D171" s="11"/>
      <c r="E171" s="11"/>
      <c r="F171" s="11"/>
      <c r="G171" s="11"/>
      <c r="H171" s="15" t="str">
        <f aca="false">IF(OR(D171="",F171=""),"",IF(F171&lt;=1,D171,D171*(1+F171/30)))</f>
        <v/>
      </c>
      <c r="I171" s="15" t="str">
        <f aca="false">IF(OR(D171="",F171="",G171=""),"",IF(F171+MAX(0,10-G171)&lt;=1,D171,D171*(1+(F171+MAX(0,10-G171))/30)))</f>
        <v/>
      </c>
      <c r="J171" s="16" t="str">
        <f aca="false">IF(A171="","",IF(AND(C171="yes",N(G171)&gt;=7),N(E171),0))</f>
        <v/>
      </c>
      <c r="K171" s="17" t="str">
        <f aca="false">IF(A171="","",A171-WEEKDAY(A171,3))</f>
        <v/>
      </c>
      <c r="L171" s="11"/>
    </row>
    <row r="172" customFormat="false" ht="15" hidden="false" customHeight="false" outlineLevel="0" collapsed="false">
      <c r="A172" s="10"/>
      <c r="B172" s="11"/>
      <c r="C172" s="11"/>
      <c r="D172" s="11"/>
      <c r="E172" s="11"/>
      <c r="F172" s="11"/>
      <c r="G172" s="11"/>
      <c r="H172" s="15" t="str">
        <f aca="false">IF(OR(D172="",F172=""),"",IF(F172&lt;=1,D172,D172*(1+F172/30)))</f>
        <v/>
      </c>
      <c r="I172" s="15" t="str">
        <f aca="false">IF(OR(D172="",F172="",G172=""),"",IF(F172+MAX(0,10-G172)&lt;=1,D172,D172*(1+(F172+MAX(0,10-G172))/30)))</f>
        <v/>
      </c>
      <c r="J172" s="16" t="str">
        <f aca="false">IF(A172="","",IF(AND(C172="yes",N(G172)&gt;=7),N(E172),0))</f>
        <v/>
      </c>
      <c r="K172" s="17" t="str">
        <f aca="false">IF(A172="","",A172-WEEKDAY(A172,3))</f>
        <v/>
      </c>
      <c r="L172" s="11"/>
    </row>
    <row r="173" customFormat="false" ht="15" hidden="false" customHeight="false" outlineLevel="0" collapsed="false">
      <c r="A173" s="10"/>
      <c r="B173" s="11"/>
      <c r="C173" s="11"/>
      <c r="D173" s="11"/>
      <c r="E173" s="11"/>
      <c r="F173" s="11"/>
      <c r="G173" s="11"/>
      <c r="H173" s="15" t="str">
        <f aca="false">IF(OR(D173="",F173=""),"",IF(F173&lt;=1,D173,D173*(1+F173/30)))</f>
        <v/>
      </c>
      <c r="I173" s="15" t="str">
        <f aca="false">IF(OR(D173="",F173="",G173=""),"",IF(F173+MAX(0,10-G173)&lt;=1,D173,D173*(1+(F173+MAX(0,10-G173))/30)))</f>
        <v/>
      </c>
      <c r="J173" s="16" t="str">
        <f aca="false">IF(A173="","",IF(AND(C173="yes",N(G173)&gt;=7),N(E173),0))</f>
        <v/>
      </c>
      <c r="K173" s="17" t="str">
        <f aca="false">IF(A173="","",A173-WEEKDAY(A173,3))</f>
        <v/>
      </c>
      <c r="L173" s="11"/>
    </row>
    <row r="174" customFormat="false" ht="15" hidden="false" customHeight="false" outlineLevel="0" collapsed="false">
      <c r="A174" s="10"/>
      <c r="B174" s="11"/>
      <c r="C174" s="11"/>
      <c r="D174" s="11"/>
      <c r="E174" s="11"/>
      <c r="F174" s="11"/>
      <c r="G174" s="11"/>
      <c r="H174" s="15" t="str">
        <f aca="false">IF(OR(D174="",F174=""),"",IF(F174&lt;=1,D174,D174*(1+F174/30)))</f>
        <v/>
      </c>
      <c r="I174" s="15" t="str">
        <f aca="false">IF(OR(D174="",F174="",G174=""),"",IF(F174+MAX(0,10-G174)&lt;=1,D174,D174*(1+(F174+MAX(0,10-G174))/30)))</f>
        <v/>
      </c>
      <c r="J174" s="16" t="str">
        <f aca="false">IF(A174="","",IF(AND(C174="yes",N(G174)&gt;=7),N(E174),0))</f>
        <v/>
      </c>
      <c r="K174" s="17" t="str">
        <f aca="false">IF(A174="","",A174-WEEKDAY(A174,3))</f>
        <v/>
      </c>
      <c r="L174" s="11"/>
    </row>
    <row r="175" customFormat="false" ht="15" hidden="false" customHeight="false" outlineLevel="0" collapsed="false">
      <c r="A175" s="10"/>
      <c r="B175" s="11"/>
      <c r="C175" s="11"/>
      <c r="D175" s="11"/>
      <c r="E175" s="11"/>
      <c r="F175" s="11"/>
      <c r="G175" s="11"/>
      <c r="H175" s="15" t="str">
        <f aca="false">IF(OR(D175="",F175=""),"",IF(F175&lt;=1,D175,D175*(1+F175/30)))</f>
        <v/>
      </c>
      <c r="I175" s="15" t="str">
        <f aca="false">IF(OR(D175="",F175="",G175=""),"",IF(F175+MAX(0,10-G175)&lt;=1,D175,D175*(1+(F175+MAX(0,10-G175))/30)))</f>
        <v/>
      </c>
      <c r="J175" s="16" t="str">
        <f aca="false">IF(A175="","",IF(AND(C175="yes",N(G175)&gt;=7),N(E175),0))</f>
        <v/>
      </c>
      <c r="K175" s="17" t="str">
        <f aca="false">IF(A175="","",A175-WEEKDAY(A175,3))</f>
        <v/>
      </c>
      <c r="L175" s="11"/>
    </row>
    <row r="176" customFormat="false" ht="15" hidden="false" customHeight="false" outlineLevel="0" collapsed="false">
      <c r="A176" s="10"/>
      <c r="B176" s="11"/>
      <c r="C176" s="11"/>
      <c r="D176" s="11"/>
      <c r="E176" s="11"/>
      <c r="F176" s="11"/>
      <c r="G176" s="11"/>
      <c r="H176" s="15" t="str">
        <f aca="false">IF(OR(D176="",F176=""),"",IF(F176&lt;=1,D176,D176*(1+F176/30)))</f>
        <v/>
      </c>
      <c r="I176" s="15" t="str">
        <f aca="false">IF(OR(D176="",F176="",G176=""),"",IF(F176+MAX(0,10-G176)&lt;=1,D176,D176*(1+(F176+MAX(0,10-G176))/30)))</f>
        <v/>
      </c>
      <c r="J176" s="16" t="str">
        <f aca="false">IF(A176="","",IF(AND(C176="yes",N(G176)&gt;=7),N(E176),0))</f>
        <v/>
      </c>
      <c r="K176" s="17" t="str">
        <f aca="false">IF(A176="","",A176-WEEKDAY(A176,3))</f>
        <v/>
      </c>
      <c r="L176" s="11"/>
    </row>
    <row r="177" customFormat="false" ht="15" hidden="false" customHeight="false" outlineLevel="0" collapsed="false">
      <c r="A177" s="10"/>
      <c r="B177" s="11"/>
      <c r="C177" s="11"/>
      <c r="D177" s="11"/>
      <c r="E177" s="11"/>
      <c r="F177" s="11"/>
      <c r="G177" s="11"/>
      <c r="H177" s="15" t="str">
        <f aca="false">IF(OR(D177="",F177=""),"",IF(F177&lt;=1,D177,D177*(1+F177/30)))</f>
        <v/>
      </c>
      <c r="I177" s="15" t="str">
        <f aca="false">IF(OR(D177="",F177="",G177=""),"",IF(F177+MAX(0,10-G177)&lt;=1,D177,D177*(1+(F177+MAX(0,10-G177))/30)))</f>
        <v/>
      </c>
      <c r="J177" s="16" t="str">
        <f aca="false">IF(A177="","",IF(AND(C177="yes",N(G177)&gt;=7),N(E177),0))</f>
        <v/>
      </c>
      <c r="K177" s="17" t="str">
        <f aca="false">IF(A177="","",A177-WEEKDAY(A177,3))</f>
        <v/>
      </c>
      <c r="L177" s="11"/>
    </row>
    <row r="178" customFormat="false" ht="15" hidden="false" customHeight="false" outlineLevel="0" collapsed="false">
      <c r="A178" s="10"/>
      <c r="B178" s="11"/>
      <c r="C178" s="11"/>
      <c r="D178" s="11"/>
      <c r="E178" s="11"/>
      <c r="F178" s="11"/>
      <c r="G178" s="11"/>
      <c r="H178" s="15" t="str">
        <f aca="false">IF(OR(D178="",F178=""),"",IF(F178&lt;=1,D178,D178*(1+F178/30)))</f>
        <v/>
      </c>
      <c r="I178" s="15" t="str">
        <f aca="false">IF(OR(D178="",F178="",G178=""),"",IF(F178+MAX(0,10-G178)&lt;=1,D178,D178*(1+(F178+MAX(0,10-G178))/30)))</f>
        <v/>
      </c>
      <c r="J178" s="16" t="str">
        <f aca="false">IF(A178="","",IF(AND(C178="yes",N(G178)&gt;=7),N(E178),0))</f>
        <v/>
      </c>
      <c r="K178" s="17" t="str">
        <f aca="false">IF(A178="","",A178-WEEKDAY(A178,3))</f>
        <v/>
      </c>
      <c r="L178" s="11"/>
    </row>
    <row r="179" customFormat="false" ht="15" hidden="false" customHeight="false" outlineLevel="0" collapsed="false">
      <c r="A179" s="10"/>
      <c r="B179" s="11"/>
      <c r="C179" s="11"/>
      <c r="D179" s="11"/>
      <c r="E179" s="11"/>
      <c r="F179" s="11"/>
      <c r="G179" s="11"/>
      <c r="H179" s="15" t="str">
        <f aca="false">IF(OR(D179="",F179=""),"",IF(F179&lt;=1,D179,D179*(1+F179/30)))</f>
        <v/>
      </c>
      <c r="I179" s="15" t="str">
        <f aca="false">IF(OR(D179="",F179="",G179=""),"",IF(F179+MAX(0,10-G179)&lt;=1,D179,D179*(1+(F179+MAX(0,10-G179))/30)))</f>
        <v/>
      </c>
      <c r="J179" s="16" t="str">
        <f aca="false">IF(A179="","",IF(AND(C179="yes",N(G179)&gt;=7),N(E179),0))</f>
        <v/>
      </c>
      <c r="K179" s="17" t="str">
        <f aca="false">IF(A179="","",A179-WEEKDAY(A179,3))</f>
        <v/>
      </c>
      <c r="L179" s="11"/>
    </row>
    <row r="180" customFormat="false" ht="15" hidden="false" customHeight="false" outlineLevel="0" collapsed="false">
      <c r="A180" s="10"/>
      <c r="B180" s="11"/>
      <c r="C180" s="11"/>
      <c r="D180" s="11"/>
      <c r="E180" s="11"/>
      <c r="F180" s="11"/>
      <c r="G180" s="11"/>
      <c r="H180" s="15" t="str">
        <f aca="false">IF(OR(D180="",F180=""),"",IF(F180&lt;=1,D180,D180*(1+F180/30)))</f>
        <v/>
      </c>
      <c r="I180" s="15" t="str">
        <f aca="false">IF(OR(D180="",F180="",G180=""),"",IF(F180+MAX(0,10-G180)&lt;=1,D180,D180*(1+(F180+MAX(0,10-G180))/30)))</f>
        <v/>
      </c>
      <c r="J180" s="16" t="str">
        <f aca="false">IF(A180="","",IF(AND(C180="yes",N(G180)&gt;=7),N(E180),0))</f>
        <v/>
      </c>
      <c r="K180" s="17" t="str">
        <f aca="false">IF(A180="","",A180-WEEKDAY(A180,3))</f>
        <v/>
      </c>
      <c r="L180" s="11"/>
    </row>
    <row r="181" customFormat="false" ht="15" hidden="false" customHeight="false" outlineLevel="0" collapsed="false">
      <c r="A181" s="10"/>
      <c r="B181" s="11"/>
      <c r="C181" s="11"/>
      <c r="D181" s="11"/>
      <c r="E181" s="11"/>
      <c r="F181" s="11"/>
      <c r="G181" s="11"/>
      <c r="H181" s="15" t="str">
        <f aca="false">IF(OR(D181="",F181=""),"",IF(F181&lt;=1,D181,D181*(1+F181/30)))</f>
        <v/>
      </c>
      <c r="I181" s="15" t="str">
        <f aca="false">IF(OR(D181="",F181="",G181=""),"",IF(F181+MAX(0,10-G181)&lt;=1,D181,D181*(1+(F181+MAX(0,10-G181))/30)))</f>
        <v/>
      </c>
      <c r="J181" s="16" t="str">
        <f aca="false">IF(A181="","",IF(AND(C181="yes",N(G181)&gt;=7),N(E181),0))</f>
        <v/>
      </c>
      <c r="K181" s="17" t="str">
        <f aca="false">IF(A181="","",A181-WEEKDAY(A181,3))</f>
        <v/>
      </c>
      <c r="L181" s="11"/>
    </row>
    <row r="182" customFormat="false" ht="15" hidden="false" customHeight="false" outlineLevel="0" collapsed="false">
      <c r="A182" s="10"/>
      <c r="B182" s="11"/>
      <c r="C182" s="11"/>
      <c r="D182" s="11"/>
      <c r="E182" s="11"/>
      <c r="F182" s="11"/>
      <c r="G182" s="11"/>
      <c r="H182" s="15" t="str">
        <f aca="false">IF(OR(D182="",F182=""),"",IF(F182&lt;=1,D182,D182*(1+F182/30)))</f>
        <v/>
      </c>
      <c r="I182" s="15" t="str">
        <f aca="false">IF(OR(D182="",F182="",G182=""),"",IF(F182+MAX(0,10-G182)&lt;=1,D182,D182*(1+(F182+MAX(0,10-G182))/30)))</f>
        <v/>
      </c>
      <c r="J182" s="16" t="str">
        <f aca="false">IF(A182="","",IF(AND(C182="yes",N(G182)&gt;=7),N(E182),0))</f>
        <v/>
      </c>
      <c r="K182" s="17" t="str">
        <f aca="false">IF(A182="","",A182-WEEKDAY(A182,3))</f>
        <v/>
      </c>
      <c r="L182" s="11"/>
    </row>
    <row r="183" customFormat="false" ht="15" hidden="false" customHeight="false" outlineLevel="0" collapsed="false">
      <c r="A183" s="10"/>
      <c r="B183" s="11"/>
      <c r="C183" s="11"/>
      <c r="D183" s="11"/>
      <c r="E183" s="11"/>
      <c r="F183" s="11"/>
      <c r="G183" s="11"/>
      <c r="H183" s="15" t="str">
        <f aca="false">IF(OR(D183="",F183=""),"",IF(F183&lt;=1,D183,D183*(1+F183/30)))</f>
        <v/>
      </c>
      <c r="I183" s="15" t="str">
        <f aca="false">IF(OR(D183="",F183="",G183=""),"",IF(F183+MAX(0,10-G183)&lt;=1,D183,D183*(1+(F183+MAX(0,10-G183))/30)))</f>
        <v/>
      </c>
      <c r="J183" s="16" t="str">
        <f aca="false">IF(A183="","",IF(AND(C183="yes",N(G183)&gt;=7),N(E183),0))</f>
        <v/>
      </c>
      <c r="K183" s="17" t="str">
        <f aca="false">IF(A183="","",A183-WEEKDAY(A183,3))</f>
        <v/>
      </c>
      <c r="L183" s="11"/>
    </row>
    <row r="184" customFormat="false" ht="15" hidden="false" customHeight="false" outlineLevel="0" collapsed="false">
      <c r="A184" s="10"/>
      <c r="B184" s="11"/>
      <c r="C184" s="11"/>
      <c r="D184" s="11"/>
      <c r="E184" s="11"/>
      <c r="F184" s="11"/>
      <c r="G184" s="11"/>
      <c r="H184" s="15" t="str">
        <f aca="false">IF(OR(D184="",F184=""),"",IF(F184&lt;=1,D184,D184*(1+F184/30)))</f>
        <v/>
      </c>
      <c r="I184" s="15" t="str">
        <f aca="false">IF(OR(D184="",F184="",G184=""),"",IF(F184+MAX(0,10-G184)&lt;=1,D184,D184*(1+(F184+MAX(0,10-G184))/30)))</f>
        <v/>
      </c>
      <c r="J184" s="16" t="str">
        <f aca="false">IF(A184="","",IF(AND(C184="yes",N(G184)&gt;=7),N(E184),0))</f>
        <v/>
      </c>
      <c r="K184" s="17" t="str">
        <f aca="false">IF(A184="","",A184-WEEKDAY(A184,3))</f>
        <v/>
      </c>
      <c r="L184" s="11"/>
    </row>
    <row r="185" customFormat="false" ht="15" hidden="false" customHeight="false" outlineLevel="0" collapsed="false">
      <c r="A185" s="10"/>
      <c r="B185" s="11"/>
      <c r="C185" s="11"/>
      <c r="D185" s="11"/>
      <c r="E185" s="11"/>
      <c r="F185" s="11"/>
      <c r="G185" s="11"/>
      <c r="H185" s="15" t="str">
        <f aca="false">IF(OR(D185="",F185=""),"",IF(F185&lt;=1,D185,D185*(1+F185/30)))</f>
        <v/>
      </c>
      <c r="I185" s="15" t="str">
        <f aca="false">IF(OR(D185="",F185="",G185=""),"",IF(F185+MAX(0,10-G185)&lt;=1,D185,D185*(1+(F185+MAX(0,10-G185))/30)))</f>
        <v/>
      </c>
      <c r="J185" s="16" t="str">
        <f aca="false">IF(A185="","",IF(AND(C185="yes",N(G185)&gt;=7),N(E185),0))</f>
        <v/>
      </c>
      <c r="K185" s="17" t="str">
        <f aca="false">IF(A185="","",A185-WEEKDAY(A185,3))</f>
        <v/>
      </c>
      <c r="L185" s="11"/>
    </row>
    <row r="186" customFormat="false" ht="15" hidden="false" customHeight="false" outlineLevel="0" collapsed="false">
      <c r="A186" s="10"/>
      <c r="B186" s="11"/>
      <c r="C186" s="11"/>
      <c r="D186" s="11"/>
      <c r="E186" s="11"/>
      <c r="F186" s="11"/>
      <c r="G186" s="11"/>
      <c r="H186" s="15" t="str">
        <f aca="false">IF(OR(D186="",F186=""),"",IF(F186&lt;=1,D186,D186*(1+F186/30)))</f>
        <v/>
      </c>
      <c r="I186" s="15" t="str">
        <f aca="false">IF(OR(D186="",F186="",G186=""),"",IF(F186+MAX(0,10-G186)&lt;=1,D186,D186*(1+(F186+MAX(0,10-G186))/30)))</f>
        <v/>
      </c>
      <c r="J186" s="16" t="str">
        <f aca="false">IF(A186="","",IF(AND(C186="yes",N(G186)&gt;=7),N(E186),0))</f>
        <v/>
      </c>
      <c r="K186" s="17" t="str">
        <f aca="false">IF(A186="","",A186-WEEKDAY(A186,3))</f>
        <v/>
      </c>
      <c r="L186" s="11"/>
    </row>
    <row r="187" customFormat="false" ht="15" hidden="false" customHeight="false" outlineLevel="0" collapsed="false">
      <c r="A187" s="10"/>
      <c r="B187" s="11"/>
      <c r="C187" s="11"/>
      <c r="D187" s="11"/>
      <c r="E187" s="11"/>
      <c r="F187" s="11"/>
      <c r="G187" s="11"/>
      <c r="H187" s="15" t="str">
        <f aca="false">IF(OR(D187="",F187=""),"",IF(F187&lt;=1,D187,D187*(1+F187/30)))</f>
        <v/>
      </c>
      <c r="I187" s="15" t="str">
        <f aca="false">IF(OR(D187="",F187="",G187=""),"",IF(F187+MAX(0,10-G187)&lt;=1,D187,D187*(1+(F187+MAX(0,10-G187))/30)))</f>
        <v/>
      </c>
      <c r="J187" s="16" t="str">
        <f aca="false">IF(A187="","",IF(AND(C187="yes",N(G187)&gt;=7),N(E187),0))</f>
        <v/>
      </c>
      <c r="K187" s="17" t="str">
        <f aca="false">IF(A187="","",A187-WEEKDAY(A187,3))</f>
        <v/>
      </c>
      <c r="L187" s="11"/>
    </row>
    <row r="188" customFormat="false" ht="15" hidden="false" customHeight="false" outlineLevel="0" collapsed="false">
      <c r="A188" s="10"/>
      <c r="B188" s="11"/>
      <c r="C188" s="11"/>
      <c r="D188" s="11"/>
      <c r="E188" s="11"/>
      <c r="F188" s="11"/>
      <c r="G188" s="11"/>
      <c r="H188" s="15" t="str">
        <f aca="false">IF(OR(D188="",F188=""),"",IF(F188&lt;=1,D188,D188*(1+F188/30)))</f>
        <v/>
      </c>
      <c r="I188" s="15" t="str">
        <f aca="false">IF(OR(D188="",F188="",G188=""),"",IF(F188+MAX(0,10-G188)&lt;=1,D188,D188*(1+(F188+MAX(0,10-G188))/30)))</f>
        <v/>
      </c>
      <c r="J188" s="16" t="str">
        <f aca="false">IF(A188="","",IF(AND(C188="yes",N(G188)&gt;=7),N(E188),0))</f>
        <v/>
      </c>
      <c r="K188" s="17" t="str">
        <f aca="false">IF(A188="","",A188-WEEKDAY(A188,3))</f>
        <v/>
      </c>
      <c r="L188" s="11"/>
    </row>
    <row r="189" customFormat="false" ht="15" hidden="false" customHeight="false" outlineLevel="0" collapsed="false">
      <c r="A189" s="10"/>
      <c r="B189" s="11"/>
      <c r="C189" s="11"/>
      <c r="D189" s="11"/>
      <c r="E189" s="11"/>
      <c r="F189" s="11"/>
      <c r="G189" s="11"/>
      <c r="H189" s="15" t="str">
        <f aca="false">IF(OR(D189="",F189=""),"",IF(F189&lt;=1,D189,D189*(1+F189/30)))</f>
        <v/>
      </c>
      <c r="I189" s="15" t="str">
        <f aca="false">IF(OR(D189="",F189="",G189=""),"",IF(F189+MAX(0,10-G189)&lt;=1,D189,D189*(1+(F189+MAX(0,10-G189))/30)))</f>
        <v/>
      </c>
      <c r="J189" s="16" t="str">
        <f aca="false">IF(A189="","",IF(AND(C189="yes",N(G189)&gt;=7),N(E189),0))</f>
        <v/>
      </c>
      <c r="K189" s="17" t="str">
        <f aca="false">IF(A189="","",A189-WEEKDAY(A189,3))</f>
        <v/>
      </c>
      <c r="L189" s="11"/>
    </row>
    <row r="190" customFormat="false" ht="15" hidden="false" customHeight="false" outlineLevel="0" collapsed="false">
      <c r="A190" s="10"/>
      <c r="B190" s="11"/>
      <c r="C190" s="11"/>
      <c r="D190" s="11"/>
      <c r="E190" s="11"/>
      <c r="F190" s="11"/>
      <c r="G190" s="11"/>
      <c r="H190" s="15" t="str">
        <f aca="false">IF(OR(D190="",F190=""),"",IF(F190&lt;=1,D190,D190*(1+F190/30)))</f>
        <v/>
      </c>
      <c r="I190" s="15" t="str">
        <f aca="false">IF(OR(D190="",F190="",G190=""),"",IF(F190+MAX(0,10-G190)&lt;=1,D190,D190*(1+(F190+MAX(0,10-G190))/30)))</f>
        <v/>
      </c>
      <c r="J190" s="16" t="str">
        <f aca="false">IF(A190="","",IF(AND(C190="yes",N(G190)&gt;=7),N(E190),0))</f>
        <v/>
      </c>
      <c r="K190" s="17" t="str">
        <f aca="false">IF(A190="","",A190-WEEKDAY(A190,3))</f>
        <v/>
      </c>
      <c r="L190" s="11"/>
    </row>
    <row r="191" customFormat="false" ht="15" hidden="false" customHeight="false" outlineLevel="0" collapsed="false">
      <c r="A191" s="10"/>
      <c r="B191" s="11"/>
      <c r="C191" s="11"/>
      <c r="D191" s="11"/>
      <c r="E191" s="11"/>
      <c r="F191" s="11"/>
      <c r="G191" s="11"/>
      <c r="H191" s="15" t="str">
        <f aca="false">IF(OR(D191="",F191=""),"",IF(F191&lt;=1,D191,D191*(1+F191/30)))</f>
        <v/>
      </c>
      <c r="I191" s="15" t="str">
        <f aca="false">IF(OR(D191="",F191="",G191=""),"",IF(F191+MAX(0,10-G191)&lt;=1,D191,D191*(1+(F191+MAX(0,10-G191))/30)))</f>
        <v/>
      </c>
      <c r="J191" s="16" t="str">
        <f aca="false">IF(A191="","",IF(AND(C191="yes",N(G191)&gt;=7),N(E191),0))</f>
        <v/>
      </c>
      <c r="K191" s="17" t="str">
        <f aca="false">IF(A191="","",A191-WEEKDAY(A191,3))</f>
        <v/>
      </c>
      <c r="L191" s="11"/>
    </row>
    <row r="192" customFormat="false" ht="15" hidden="false" customHeight="false" outlineLevel="0" collapsed="false">
      <c r="A192" s="10"/>
      <c r="B192" s="11"/>
      <c r="C192" s="11"/>
      <c r="D192" s="11"/>
      <c r="E192" s="11"/>
      <c r="F192" s="11"/>
      <c r="G192" s="11"/>
      <c r="H192" s="15" t="str">
        <f aca="false">IF(OR(D192="",F192=""),"",IF(F192&lt;=1,D192,D192*(1+F192/30)))</f>
        <v/>
      </c>
      <c r="I192" s="15" t="str">
        <f aca="false">IF(OR(D192="",F192="",G192=""),"",IF(F192+MAX(0,10-G192)&lt;=1,D192,D192*(1+(F192+MAX(0,10-G192))/30)))</f>
        <v/>
      </c>
      <c r="J192" s="16" t="str">
        <f aca="false">IF(A192="","",IF(AND(C192="yes",N(G192)&gt;=7),N(E192),0))</f>
        <v/>
      </c>
      <c r="K192" s="17" t="str">
        <f aca="false">IF(A192="","",A192-WEEKDAY(A192,3))</f>
        <v/>
      </c>
      <c r="L192" s="11"/>
    </row>
    <row r="193" customFormat="false" ht="15" hidden="false" customHeight="false" outlineLevel="0" collapsed="false">
      <c r="A193" s="10"/>
      <c r="B193" s="11"/>
      <c r="C193" s="11"/>
      <c r="D193" s="11"/>
      <c r="E193" s="11"/>
      <c r="F193" s="11"/>
      <c r="G193" s="11"/>
      <c r="H193" s="15" t="str">
        <f aca="false">IF(OR(D193="",F193=""),"",IF(F193&lt;=1,D193,D193*(1+F193/30)))</f>
        <v/>
      </c>
      <c r="I193" s="15" t="str">
        <f aca="false">IF(OR(D193="",F193="",G193=""),"",IF(F193+MAX(0,10-G193)&lt;=1,D193,D193*(1+(F193+MAX(0,10-G193))/30)))</f>
        <v/>
      </c>
      <c r="J193" s="16" t="str">
        <f aca="false">IF(A193="","",IF(AND(C193="yes",N(G193)&gt;=7),N(E193),0))</f>
        <v/>
      </c>
      <c r="K193" s="17" t="str">
        <f aca="false">IF(A193="","",A193-WEEKDAY(A193,3))</f>
        <v/>
      </c>
      <c r="L193" s="11"/>
    </row>
    <row r="194" customFormat="false" ht="15" hidden="false" customHeight="false" outlineLevel="0" collapsed="false">
      <c r="A194" s="10"/>
      <c r="B194" s="11"/>
      <c r="C194" s="11"/>
      <c r="D194" s="11"/>
      <c r="E194" s="11"/>
      <c r="F194" s="11"/>
      <c r="G194" s="11"/>
      <c r="H194" s="15" t="str">
        <f aca="false">IF(OR(D194="",F194=""),"",IF(F194&lt;=1,D194,D194*(1+F194/30)))</f>
        <v/>
      </c>
      <c r="I194" s="15" t="str">
        <f aca="false">IF(OR(D194="",F194="",G194=""),"",IF(F194+MAX(0,10-G194)&lt;=1,D194,D194*(1+(F194+MAX(0,10-G194))/30)))</f>
        <v/>
      </c>
      <c r="J194" s="16" t="str">
        <f aca="false">IF(A194="","",IF(AND(C194="yes",N(G194)&gt;=7),N(E194),0))</f>
        <v/>
      </c>
      <c r="K194" s="17" t="str">
        <f aca="false">IF(A194="","",A194-WEEKDAY(A194,3))</f>
        <v/>
      </c>
      <c r="L194" s="11"/>
    </row>
    <row r="195" customFormat="false" ht="15" hidden="false" customHeight="false" outlineLevel="0" collapsed="false">
      <c r="A195" s="10"/>
      <c r="B195" s="11"/>
      <c r="C195" s="11"/>
      <c r="D195" s="11"/>
      <c r="E195" s="11"/>
      <c r="F195" s="11"/>
      <c r="G195" s="11"/>
      <c r="H195" s="15" t="str">
        <f aca="false">IF(OR(D195="",F195=""),"",IF(F195&lt;=1,D195,D195*(1+F195/30)))</f>
        <v/>
      </c>
      <c r="I195" s="15" t="str">
        <f aca="false">IF(OR(D195="",F195="",G195=""),"",IF(F195+MAX(0,10-G195)&lt;=1,D195,D195*(1+(F195+MAX(0,10-G195))/30)))</f>
        <v/>
      </c>
      <c r="J195" s="16" t="str">
        <f aca="false">IF(A195="","",IF(AND(C195="yes",N(G195)&gt;=7),N(E195),0))</f>
        <v/>
      </c>
      <c r="K195" s="17" t="str">
        <f aca="false">IF(A195="","",A195-WEEKDAY(A195,3))</f>
        <v/>
      </c>
      <c r="L195" s="11"/>
    </row>
    <row r="196" customFormat="false" ht="15" hidden="false" customHeight="false" outlineLevel="0" collapsed="false">
      <c r="A196" s="10"/>
      <c r="B196" s="11"/>
      <c r="C196" s="11"/>
      <c r="D196" s="11"/>
      <c r="E196" s="11"/>
      <c r="F196" s="11"/>
      <c r="G196" s="11"/>
      <c r="H196" s="15" t="str">
        <f aca="false">IF(OR(D196="",F196=""),"",IF(F196&lt;=1,D196,D196*(1+F196/30)))</f>
        <v/>
      </c>
      <c r="I196" s="15" t="str">
        <f aca="false">IF(OR(D196="",F196="",G196=""),"",IF(F196+MAX(0,10-G196)&lt;=1,D196,D196*(1+(F196+MAX(0,10-G196))/30)))</f>
        <v/>
      </c>
      <c r="J196" s="16" t="str">
        <f aca="false">IF(A196="","",IF(AND(C196="yes",N(G196)&gt;=7),N(E196),0))</f>
        <v/>
      </c>
      <c r="K196" s="17" t="str">
        <f aca="false">IF(A196="","",A196-WEEKDAY(A196,3))</f>
        <v/>
      </c>
      <c r="L196" s="11"/>
    </row>
    <row r="197" customFormat="false" ht="15" hidden="false" customHeight="false" outlineLevel="0" collapsed="false">
      <c r="A197" s="10"/>
      <c r="B197" s="11"/>
      <c r="C197" s="11"/>
      <c r="D197" s="11"/>
      <c r="E197" s="11"/>
      <c r="F197" s="11"/>
      <c r="G197" s="11"/>
      <c r="H197" s="15" t="str">
        <f aca="false">IF(OR(D197="",F197=""),"",IF(F197&lt;=1,D197,D197*(1+F197/30)))</f>
        <v/>
      </c>
      <c r="I197" s="15" t="str">
        <f aca="false">IF(OR(D197="",F197="",G197=""),"",IF(F197+MAX(0,10-G197)&lt;=1,D197,D197*(1+(F197+MAX(0,10-G197))/30)))</f>
        <v/>
      </c>
      <c r="J197" s="16" t="str">
        <f aca="false">IF(A197="","",IF(AND(C197="yes",N(G197)&gt;=7),N(E197),0))</f>
        <v/>
      </c>
      <c r="K197" s="17" t="str">
        <f aca="false">IF(A197="","",A197-WEEKDAY(A197,3))</f>
        <v/>
      </c>
      <c r="L197" s="11"/>
    </row>
    <row r="198" customFormat="false" ht="15" hidden="false" customHeight="false" outlineLevel="0" collapsed="false">
      <c r="A198" s="10"/>
      <c r="B198" s="11"/>
      <c r="C198" s="11"/>
      <c r="D198" s="11"/>
      <c r="E198" s="11"/>
      <c r="F198" s="11"/>
      <c r="G198" s="11"/>
      <c r="H198" s="15" t="str">
        <f aca="false">IF(OR(D198="",F198=""),"",IF(F198&lt;=1,D198,D198*(1+F198/30)))</f>
        <v/>
      </c>
      <c r="I198" s="15" t="str">
        <f aca="false">IF(OR(D198="",F198="",G198=""),"",IF(F198+MAX(0,10-G198)&lt;=1,D198,D198*(1+(F198+MAX(0,10-G198))/30)))</f>
        <v/>
      </c>
      <c r="J198" s="16" t="str">
        <f aca="false">IF(A198="","",IF(AND(C198="yes",N(G198)&gt;=7),N(E198),0))</f>
        <v/>
      </c>
      <c r="K198" s="17" t="str">
        <f aca="false">IF(A198="","",A198-WEEKDAY(A198,3))</f>
        <v/>
      </c>
      <c r="L198" s="11"/>
    </row>
    <row r="199" customFormat="false" ht="15" hidden="false" customHeight="false" outlineLevel="0" collapsed="false">
      <c r="A199" s="10"/>
      <c r="B199" s="11"/>
      <c r="C199" s="11"/>
      <c r="D199" s="11"/>
      <c r="E199" s="11"/>
      <c r="F199" s="11"/>
      <c r="G199" s="11"/>
      <c r="H199" s="15" t="str">
        <f aca="false">IF(OR(D199="",F199=""),"",IF(F199&lt;=1,D199,D199*(1+F199/30)))</f>
        <v/>
      </c>
      <c r="I199" s="15" t="str">
        <f aca="false">IF(OR(D199="",F199="",G199=""),"",IF(F199+MAX(0,10-G199)&lt;=1,D199,D199*(1+(F199+MAX(0,10-G199))/30)))</f>
        <v/>
      </c>
      <c r="J199" s="16" t="str">
        <f aca="false">IF(A199="","",IF(AND(C199="yes",N(G199)&gt;=7),N(E199),0))</f>
        <v/>
      </c>
      <c r="K199" s="17" t="str">
        <f aca="false">IF(A199="","",A199-WEEKDAY(A199,3))</f>
        <v/>
      </c>
      <c r="L199" s="11"/>
    </row>
    <row r="200" customFormat="false" ht="15" hidden="false" customHeight="false" outlineLevel="0" collapsed="false">
      <c r="A200" s="10"/>
      <c r="B200" s="11"/>
      <c r="C200" s="11"/>
      <c r="D200" s="11"/>
      <c r="E200" s="11"/>
      <c r="F200" s="11"/>
      <c r="G200" s="11"/>
      <c r="H200" s="15" t="str">
        <f aca="false">IF(OR(D200="",F200=""),"",IF(F200&lt;=1,D200,D200*(1+F200/30)))</f>
        <v/>
      </c>
      <c r="I200" s="15" t="str">
        <f aca="false">IF(OR(D200="",F200="",G200=""),"",IF(F200+MAX(0,10-G200)&lt;=1,D200,D200*(1+(F200+MAX(0,10-G200))/30)))</f>
        <v/>
      </c>
      <c r="J200" s="16" t="str">
        <f aca="false">IF(A200="","",IF(AND(C200="yes",N(G200)&gt;=7),N(E200),0))</f>
        <v/>
      </c>
      <c r="K200" s="17" t="str">
        <f aca="false">IF(A200="","",A200-WEEKDAY(A200,3))</f>
        <v/>
      </c>
      <c r="L200" s="11"/>
    </row>
    <row r="201" customFormat="false" ht="15" hidden="false" customHeight="false" outlineLevel="0" collapsed="false">
      <c r="A201" s="10"/>
      <c r="B201" s="11"/>
      <c r="C201" s="11"/>
      <c r="D201" s="11"/>
      <c r="E201" s="11"/>
      <c r="F201" s="11"/>
      <c r="G201" s="11"/>
      <c r="H201" s="15" t="str">
        <f aca="false">IF(OR(D201="",F201=""),"",IF(F201&lt;=1,D201,D201*(1+F201/30)))</f>
        <v/>
      </c>
      <c r="I201" s="15" t="str">
        <f aca="false">IF(OR(D201="",F201="",G201=""),"",IF(F201+MAX(0,10-G201)&lt;=1,D201,D201*(1+(F201+MAX(0,10-G201))/30)))</f>
        <v/>
      </c>
      <c r="J201" s="16" t="str">
        <f aca="false">IF(A201="","",IF(AND(C201="yes",N(G201)&gt;=7),N(E201),0))</f>
        <v/>
      </c>
      <c r="K201" s="17" t="str">
        <f aca="false">IF(A201="","",A201-WEEKDAY(A201,3))</f>
        <v/>
      </c>
      <c r="L201" s="11"/>
    </row>
    <row r="202" customFormat="false" ht="15" hidden="false" customHeight="false" outlineLevel="0" collapsed="false">
      <c r="A202" s="10"/>
      <c r="B202" s="11"/>
      <c r="C202" s="11"/>
      <c r="D202" s="11"/>
      <c r="E202" s="11"/>
      <c r="F202" s="11"/>
      <c r="G202" s="11"/>
      <c r="H202" s="15" t="str">
        <f aca="false">IF(OR(D202="",F202=""),"",IF(F202&lt;=1,D202,D202*(1+F202/30)))</f>
        <v/>
      </c>
      <c r="I202" s="15" t="str">
        <f aca="false">IF(OR(D202="",F202="",G202=""),"",IF(F202+MAX(0,10-G202)&lt;=1,D202,D202*(1+(F202+MAX(0,10-G202))/30)))</f>
        <v/>
      </c>
      <c r="J202" s="16" t="str">
        <f aca="false">IF(A202="","",IF(AND(C202="yes",N(G202)&gt;=7),N(E202),0))</f>
        <v/>
      </c>
      <c r="K202" s="17" t="str">
        <f aca="false">IF(A202="","",A202-WEEKDAY(A202,3))</f>
        <v/>
      </c>
      <c r="L202" s="11"/>
    </row>
    <row r="203" customFormat="false" ht="15" hidden="false" customHeight="false" outlineLevel="0" collapsed="false">
      <c r="A203" s="10"/>
      <c r="B203" s="11"/>
      <c r="C203" s="11"/>
      <c r="D203" s="11"/>
      <c r="E203" s="11"/>
      <c r="F203" s="11"/>
      <c r="G203" s="11"/>
      <c r="H203" s="15" t="str">
        <f aca="false">IF(OR(D203="",F203=""),"",IF(F203&lt;=1,D203,D203*(1+F203/30)))</f>
        <v/>
      </c>
      <c r="I203" s="15" t="str">
        <f aca="false">IF(OR(D203="",F203="",G203=""),"",IF(F203+MAX(0,10-G203)&lt;=1,D203,D203*(1+(F203+MAX(0,10-G203))/30)))</f>
        <v/>
      </c>
      <c r="J203" s="16" t="str">
        <f aca="false">IF(A203="","",IF(AND(C203="yes",N(G203)&gt;=7),N(E203),0))</f>
        <v/>
      </c>
      <c r="K203" s="17" t="str">
        <f aca="false">IF(A203="","",A203-WEEKDAY(A203,3))</f>
        <v/>
      </c>
      <c r="L203" s="11"/>
    </row>
    <row r="204" customFormat="false" ht="15" hidden="false" customHeight="false" outlineLevel="0" collapsed="false">
      <c r="A204" s="10"/>
      <c r="B204" s="11"/>
      <c r="C204" s="11"/>
      <c r="D204" s="11"/>
      <c r="E204" s="11"/>
      <c r="F204" s="11"/>
      <c r="G204" s="11"/>
      <c r="H204" s="15" t="str">
        <f aca="false">IF(OR(D204="",F204=""),"",IF(F204&lt;=1,D204,D204*(1+F204/30)))</f>
        <v/>
      </c>
      <c r="I204" s="15" t="str">
        <f aca="false">IF(OR(D204="",F204="",G204=""),"",IF(F204+MAX(0,10-G204)&lt;=1,D204,D204*(1+(F204+MAX(0,10-G204))/30)))</f>
        <v/>
      </c>
      <c r="J204" s="16" t="str">
        <f aca="false">IF(A204="","",IF(AND(C204="yes",N(G204)&gt;=7),N(E204),0))</f>
        <v/>
      </c>
      <c r="K204" s="17" t="str">
        <f aca="false">IF(A204="","",A204-WEEKDAY(A204,3))</f>
        <v/>
      </c>
      <c r="L204" s="11"/>
    </row>
    <row r="205" customFormat="false" ht="15" hidden="false" customHeight="false" outlineLevel="0" collapsed="false">
      <c r="A205" s="10"/>
      <c r="B205" s="11"/>
      <c r="C205" s="11"/>
      <c r="D205" s="11"/>
      <c r="E205" s="11"/>
      <c r="F205" s="11"/>
      <c r="G205" s="11"/>
      <c r="H205" s="15" t="str">
        <f aca="false">IF(OR(D205="",F205=""),"",IF(F205&lt;=1,D205,D205*(1+F205/30)))</f>
        <v/>
      </c>
      <c r="I205" s="15" t="str">
        <f aca="false">IF(OR(D205="",F205="",G205=""),"",IF(F205+MAX(0,10-G205)&lt;=1,D205,D205*(1+(F205+MAX(0,10-G205))/30)))</f>
        <v/>
      </c>
      <c r="J205" s="16" t="str">
        <f aca="false">IF(A205="","",IF(AND(C205="yes",N(G205)&gt;=7),N(E205),0))</f>
        <v/>
      </c>
      <c r="K205" s="17" t="str">
        <f aca="false">IF(A205="","",A205-WEEKDAY(A205,3))</f>
        <v/>
      </c>
      <c r="L205" s="11"/>
    </row>
    <row r="206" customFormat="false" ht="15" hidden="false" customHeight="false" outlineLevel="0" collapsed="false">
      <c r="A206" s="10"/>
      <c r="B206" s="11"/>
      <c r="C206" s="11"/>
      <c r="D206" s="11"/>
      <c r="E206" s="11"/>
      <c r="F206" s="11"/>
      <c r="G206" s="11"/>
      <c r="H206" s="15" t="str">
        <f aca="false">IF(OR(D206="",F206=""),"",IF(F206&lt;=1,D206,D206*(1+F206/30)))</f>
        <v/>
      </c>
      <c r="I206" s="15" t="str">
        <f aca="false">IF(OR(D206="",F206="",G206=""),"",IF(F206+MAX(0,10-G206)&lt;=1,D206,D206*(1+(F206+MAX(0,10-G206))/30)))</f>
        <v/>
      </c>
      <c r="J206" s="16" t="str">
        <f aca="false">IF(A206="","",IF(AND(C206="yes",N(G206)&gt;=7),N(E206),0))</f>
        <v/>
      </c>
      <c r="K206" s="17" t="str">
        <f aca="false">IF(A206="","",A206-WEEKDAY(A206,3))</f>
        <v/>
      </c>
      <c r="L206" s="11"/>
    </row>
    <row r="207" customFormat="false" ht="15" hidden="false" customHeight="false" outlineLevel="0" collapsed="false">
      <c r="A207" s="10"/>
      <c r="B207" s="11"/>
      <c r="C207" s="11"/>
      <c r="D207" s="11"/>
      <c r="E207" s="11"/>
      <c r="F207" s="11"/>
      <c r="G207" s="11"/>
      <c r="H207" s="15" t="str">
        <f aca="false">IF(OR(D207="",F207=""),"",IF(F207&lt;=1,D207,D207*(1+F207/30)))</f>
        <v/>
      </c>
      <c r="I207" s="15" t="str">
        <f aca="false">IF(OR(D207="",F207="",G207=""),"",IF(F207+MAX(0,10-G207)&lt;=1,D207,D207*(1+(F207+MAX(0,10-G207))/30)))</f>
        <v/>
      </c>
      <c r="J207" s="16" t="str">
        <f aca="false">IF(A207="","",IF(AND(C207="yes",N(G207)&gt;=7),N(E207),0))</f>
        <v/>
      </c>
      <c r="K207" s="17" t="str">
        <f aca="false">IF(A207="","",A207-WEEKDAY(A207,3))</f>
        <v/>
      </c>
      <c r="L207" s="11"/>
    </row>
    <row r="208" customFormat="false" ht="15" hidden="false" customHeight="false" outlineLevel="0" collapsed="false">
      <c r="A208" s="10"/>
      <c r="B208" s="11"/>
      <c r="C208" s="11"/>
      <c r="D208" s="11"/>
      <c r="E208" s="11"/>
      <c r="F208" s="11"/>
      <c r="G208" s="11"/>
      <c r="H208" s="15" t="str">
        <f aca="false">IF(OR(D208="",F208=""),"",IF(F208&lt;=1,D208,D208*(1+F208/30)))</f>
        <v/>
      </c>
      <c r="I208" s="15" t="str">
        <f aca="false">IF(OR(D208="",F208="",G208=""),"",IF(F208+MAX(0,10-G208)&lt;=1,D208,D208*(1+(F208+MAX(0,10-G208))/30)))</f>
        <v/>
      </c>
      <c r="J208" s="16" t="str">
        <f aca="false">IF(A208="","",IF(AND(C208="yes",N(G208)&gt;=7),N(E208),0))</f>
        <v/>
      </c>
      <c r="K208" s="17" t="str">
        <f aca="false">IF(A208="","",A208-WEEKDAY(A208,3))</f>
        <v/>
      </c>
      <c r="L208" s="11"/>
    </row>
    <row r="209" customFormat="false" ht="15" hidden="false" customHeight="false" outlineLevel="0" collapsed="false">
      <c r="A209" s="10"/>
      <c r="B209" s="11"/>
      <c r="C209" s="11"/>
      <c r="D209" s="11"/>
      <c r="E209" s="11"/>
      <c r="F209" s="11"/>
      <c r="G209" s="11"/>
      <c r="H209" s="15" t="str">
        <f aca="false">IF(OR(D209="",F209=""),"",IF(F209&lt;=1,D209,D209*(1+F209/30)))</f>
        <v/>
      </c>
      <c r="I209" s="15" t="str">
        <f aca="false">IF(OR(D209="",F209="",G209=""),"",IF(F209+MAX(0,10-G209)&lt;=1,D209,D209*(1+(F209+MAX(0,10-G209))/30)))</f>
        <v/>
      </c>
      <c r="J209" s="16" t="str">
        <f aca="false">IF(A209="","",IF(AND(C209="yes",N(G209)&gt;=7),N(E209),0))</f>
        <v/>
      </c>
      <c r="K209" s="17" t="str">
        <f aca="false">IF(A209="","",A209-WEEKDAY(A209,3))</f>
        <v/>
      </c>
      <c r="L209" s="11"/>
    </row>
    <row r="210" customFormat="false" ht="15" hidden="false" customHeight="false" outlineLevel="0" collapsed="false">
      <c r="A210" s="10"/>
      <c r="B210" s="11"/>
      <c r="C210" s="11"/>
      <c r="D210" s="11"/>
      <c r="E210" s="11"/>
      <c r="F210" s="11"/>
      <c r="G210" s="11"/>
      <c r="H210" s="15" t="str">
        <f aca="false">IF(OR(D210="",F210=""),"",IF(F210&lt;=1,D210,D210*(1+F210/30)))</f>
        <v/>
      </c>
      <c r="I210" s="15" t="str">
        <f aca="false">IF(OR(D210="",F210="",G210=""),"",IF(F210+MAX(0,10-G210)&lt;=1,D210,D210*(1+(F210+MAX(0,10-G210))/30)))</f>
        <v/>
      </c>
      <c r="J210" s="16" t="str">
        <f aca="false">IF(A210="","",IF(AND(C210="yes",N(G210)&gt;=7),N(E210),0))</f>
        <v/>
      </c>
      <c r="K210" s="17" t="str">
        <f aca="false">IF(A210="","",A210-WEEKDAY(A210,3))</f>
        <v/>
      </c>
      <c r="L210" s="11"/>
    </row>
    <row r="211" customFormat="false" ht="15" hidden="false" customHeight="false" outlineLevel="0" collapsed="false">
      <c r="A211" s="10"/>
      <c r="B211" s="11"/>
      <c r="C211" s="11"/>
      <c r="D211" s="11"/>
      <c r="E211" s="11"/>
      <c r="F211" s="11"/>
      <c r="G211" s="11"/>
      <c r="H211" s="15" t="str">
        <f aca="false">IF(OR(D211="",F211=""),"",IF(F211&lt;=1,D211,D211*(1+F211/30)))</f>
        <v/>
      </c>
      <c r="I211" s="15" t="str">
        <f aca="false">IF(OR(D211="",F211="",G211=""),"",IF(F211+MAX(0,10-G211)&lt;=1,D211,D211*(1+(F211+MAX(0,10-G211))/30)))</f>
        <v/>
      </c>
      <c r="J211" s="16" t="str">
        <f aca="false">IF(A211="","",IF(AND(C211="yes",N(G211)&gt;=7),N(E211),0))</f>
        <v/>
      </c>
      <c r="K211" s="17" t="str">
        <f aca="false">IF(A211="","",A211-WEEKDAY(A211,3))</f>
        <v/>
      </c>
      <c r="L211" s="11"/>
    </row>
    <row r="212" customFormat="false" ht="15" hidden="false" customHeight="false" outlineLevel="0" collapsed="false">
      <c r="A212" s="10"/>
      <c r="B212" s="11"/>
      <c r="C212" s="11"/>
      <c r="D212" s="11"/>
      <c r="E212" s="11"/>
      <c r="F212" s="11"/>
      <c r="G212" s="11"/>
      <c r="H212" s="15" t="str">
        <f aca="false">IF(OR(D212="",F212=""),"",IF(F212&lt;=1,D212,D212*(1+F212/30)))</f>
        <v/>
      </c>
      <c r="I212" s="15" t="str">
        <f aca="false">IF(OR(D212="",F212="",G212=""),"",IF(F212+MAX(0,10-G212)&lt;=1,D212,D212*(1+(F212+MAX(0,10-G212))/30)))</f>
        <v/>
      </c>
      <c r="J212" s="16" t="str">
        <f aca="false">IF(A212="","",IF(AND(C212="yes",N(G212)&gt;=7),N(E212),0))</f>
        <v/>
      </c>
      <c r="K212" s="17" t="str">
        <f aca="false">IF(A212="","",A212-WEEKDAY(A212,3))</f>
        <v/>
      </c>
      <c r="L212" s="11"/>
    </row>
    <row r="213" customFormat="false" ht="15" hidden="false" customHeight="false" outlineLevel="0" collapsed="false">
      <c r="A213" s="10"/>
      <c r="B213" s="11"/>
      <c r="C213" s="11"/>
      <c r="D213" s="11"/>
      <c r="E213" s="11"/>
      <c r="F213" s="11"/>
      <c r="G213" s="11"/>
      <c r="H213" s="15" t="str">
        <f aca="false">IF(OR(D213="",F213=""),"",IF(F213&lt;=1,D213,D213*(1+F213/30)))</f>
        <v/>
      </c>
      <c r="I213" s="15" t="str">
        <f aca="false">IF(OR(D213="",F213="",G213=""),"",IF(F213+MAX(0,10-G213)&lt;=1,D213,D213*(1+(F213+MAX(0,10-G213))/30)))</f>
        <v/>
      </c>
      <c r="J213" s="16" t="str">
        <f aca="false">IF(A213="","",IF(AND(C213="yes",N(G213)&gt;=7),N(E213),0))</f>
        <v/>
      </c>
      <c r="K213" s="17" t="str">
        <f aca="false">IF(A213="","",A213-WEEKDAY(A213,3))</f>
        <v/>
      </c>
      <c r="L213" s="11"/>
    </row>
    <row r="214" customFormat="false" ht="15" hidden="false" customHeight="false" outlineLevel="0" collapsed="false">
      <c r="A214" s="10"/>
      <c r="B214" s="11"/>
      <c r="C214" s="11"/>
      <c r="D214" s="11"/>
      <c r="E214" s="11"/>
      <c r="F214" s="11"/>
      <c r="G214" s="11"/>
      <c r="H214" s="15" t="str">
        <f aca="false">IF(OR(D214="",F214=""),"",IF(F214&lt;=1,D214,D214*(1+F214/30)))</f>
        <v/>
      </c>
      <c r="I214" s="15" t="str">
        <f aca="false">IF(OR(D214="",F214="",G214=""),"",IF(F214+MAX(0,10-G214)&lt;=1,D214,D214*(1+(F214+MAX(0,10-G214))/30)))</f>
        <v/>
      </c>
      <c r="J214" s="16" t="str">
        <f aca="false">IF(A214="","",IF(AND(C214="yes",N(G214)&gt;=7),N(E214),0))</f>
        <v/>
      </c>
      <c r="K214" s="17" t="str">
        <f aca="false">IF(A214="","",A214-WEEKDAY(A214,3))</f>
        <v/>
      </c>
      <c r="L214" s="11"/>
    </row>
    <row r="215" customFormat="false" ht="15" hidden="false" customHeight="false" outlineLevel="0" collapsed="false">
      <c r="A215" s="10"/>
      <c r="B215" s="11"/>
      <c r="C215" s="11"/>
      <c r="D215" s="11"/>
      <c r="E215" s="11"/>
      <c r="F215" s="11"/>
      <c r="G215" s="11"/>
      <c r="H215" s="15" t="str">
        <f aca="false">IF(OR(D215="",F215=""),"",IF(F215&lt;=1,D215,D215*(1+F215/30)))</f>
        <v/>
      </c>
      <c r="I215" s="15" t="str">
        <f aca="false">IF(OR(D215="",F215="",G215=""),"",IF(F215+MAX(0,10-G215)&lt;=1,D215,D215*(1+(F215+MAX(0,10-G215))/30)))</f>
        <v/>
      </c>
      <c r="J215" s="16" t="str">
        <f aca="false">IF(A215="","",IF(AND(C215="yes",N(G215)&gt;=7),N(E215),0))</f>
        <v/>
      </c>
      <c r="K215" s="17" t="str">
        <f aca="false">IF(A215="","",A215-WEEKDAY(A215,3))</f>
        <v/>
      </c>
      <c r="L215" s="11"/>
    </row>
    <row r="216" customFormat="false" ht="15" hidden="false" customHeight="false" outlineLevel="0" collapsed="false">
      <c r="A216" s="10"/>
      <c r="B216" s="11"/>
      <c r="C216" s="11"/>
      <c r="D216" s="11"/>
      <c r="E216" s="11"/>
      <c r="F216" s="11"/>
      <c r="G216" s="11"/>
      <c r="H216" s="15" t="str">
        <f aca="false">IF(OR(D216="",F216=""),"",IF(F216&lt;=1,D216,D216*(1+F216/30)))</f>
        <v/>
      </c>
      <c r="I216" s="15" t="str">
        <f aca="false">IF(OR(D216="",F216="",G216=""),"",IF(F216+MAX(0,10-G216)&lt;=1,D216,D216*(1+(F216+MAX(0,10-G216))/30)))</f>
        <v/>
      </c>
      <c r="J216" s="16" t="str">
        <f aca="false">IF(A216="","",IF(AND(C216="yes",N(G216)&gt;=7),N(E216),0))</f>
        <v/>
      </c>
      <c r="K216" s="17" t="str">
        <f aca="false">IF(A216="","",A216-WEEKDAY(A216,3))</f>
        <v/>
      </c>
      <c r="L216" s="11"/>
    </row>
    <row r="217" customFormat="false" ht="15" hidden="false" customHeight="false" outlineLevel="0" collapsed="false">
      <c r="A217" s="10"/>
      <c r="B217" s="11"/>
      <c r="C217" s="11"/>
      <c r="D217" s="11"/>
      <c r="E217" s="11"/>
      <c r="F217" s="11"/>
      <c r="G217" s="11"/>
      <c r="H217" s="15" t="str">
        <f aca="false">IF(OR(D217="",F217=""),"",IF(F217&lt;=1,D217,D217*(1+F217/30)))</f>
        <v/>
      </c>
      <c r="I217" s="15" t="str">
        <f aca="false">IF(OR(D217="",F217="",G217=""),"",IF(F217+MAX(0,10-G217)&lt;=1,D217,D217*(1+(F217+MAX(0,10-G217))/30)))</f>
        <v/>
      </c>
      <c r="J217" s="16" t="str">
        <f aca="false">IF(A217="","",IF(AND(C217="yes",N(G217)&gt;=7),N(E217),0))</f>
        <v/>
      </c>
      <c r="K217" s="17" t="str">
        <f aca="false">IF(A217="","",A217-WEEKDAY(A217,3))</f>
        <v/>
      </c>
      <c r="L217" s="11"/>
    </row>
    <row r="218" customFormat="false" ht="15" hidden="false" customHeight="false" outlineLevel="0" collapsed="false">
      <c r="A218" s="10"/>
      <c r="B218" s="11"/>
      <c r="C218" s="11"/>
      <c r="D218" s="11"/>
      <c r="E218" s="11"/>
      <c r="F218" s="11"/>
      <c r="G218" s="11"/>
      <c r="H218" s="15" t="str">
        <f aca="false">IF(OR(D218="",F218=""),"",IF(F218&lt;=1,D218,D218*(1+F218/30)))</f>
        <v/>
      </c>
      <c r="I218" s="15" t="str">
        <f aca="false">IF(OR(D218="",F218="",G218=""),"",IF(F218+MAX(0,10-G218)&lt;=1,D218,D218*(1+(F218+MAX(0,10-G218))/30)))</f>
        <v/>
      </c>
      <c r="J218" s="16" t="str">
        <f aca="false">IF(A218="","",IF(AND(C218="yes",N(G218)&gt;=7),N(E218),0))</f>
        <v/>
      </c>
      <c r="K218" s="17" t="str">
        <f aca="false">IF(A218="","",A218-WEEKDAY(A218,3))</f>
        <v/>
      </c>
      <c r="L218" s="11"/>
    </row>
    <row r="219" customFormat="false" ht="15" hidden="false" customHeight="false" outlineLevel="0" collapsed="false">
      <c r="A219" s="10"/>
      <c r="B219" s="11"/>
      <c r="C219" s="11"/>
      <c r="D219" s="11"/>
      <c r="E219" s="11"/>
      <c r="F219" s="11"/>
      <c r="G219" s="11"/>
      <c r="H219" s="15" t="str">
        <f aca="false">IF(OR(D219="",F219=""),"",IF(F219&lt;=1,D219,D219*(1+F219/30)))</f>
        <v/>
      </c>
      <c r="I219" s="15" t="str">
        <f aca="false">IF(OR(D219="",F219="",G219=""),"",IF(F219+MAX(0,10-G219)&lt;=1,D219,D219*(1+(F219+MAX(0,10-G219))/30)))</f>
        <v/>
      </c>
      <c r="J219" s="16" t="str">
        <f aca="false">IF(A219="","",IF(AND(C219="yes",N(G219)&gt;=7),N(E219),0))</f>
        <v/>
      </c>
      <c r="K219" s="17" t="str">
        <f aca="false">IF(A219="","",A219-WEEKDAY(A219,3))</f>
        <v/>
      </c>
      <c r="L219" s="11"/>
    </row>
    <row r="220" customFormat="false" ht="15" hidden="false" customHeight="false" outlineLevel="0" collapsed="false">
      <c r="A220" s="10"/>
      <c r="B220" s="11"/>
      <c r="C220" s="11"/>
      <c r="D220" s="11"/>
      <c r="E220" s="11"/>
      <c r="F220" s="11"/>
      <c r="G220" s="11"/>
      <c r="H220" s="15" t="str">
        <f aca="false">IF(OR(D220="",F220=""),"",IF(F220&lt;=1,D220,D220*(1+F220/30)))</f>
        <v/>
      </c>
      <c r="I220" s="15" t="str">
        <f aca="false">IF(OR(D220="",F220="",G220=""),"",IF(F220+MAX(0,10-G220)&lt;=1,D220,D220*(1+(F220+MAX(0,10-G220))/30)))</f>
        <v/>
      </c>
      <c r="J220" s="16" t="str">
        <f aca="false">IF(A220="","",IF(AND(C220="yes",N(G220)&gt;=7),N(E220),0))</f>
        <v/>
      </c>
      <c r="K220" s="17" t="str">
        <f aca="false">IF(A220="","",A220-WEEKDAY(A220,3))</f>
        <v/>
      </c>
      <c r="L220" s="11"/>
    </row>
    <row r="221" customFormat="false" ht="15" hidden="false" customHeight="false" outlineLevel="0" collapsed="false">
      <c r="A221" s="10"/>
      <c r="B221" s="11"/>
      <c r="C221" s="11"/>
      <c r="D221" s="11"/>
      <c r="E221" s="11"/>
      <c r="F221" s="11"/>
      <c r="G221" s="11"/>
      <c r="H221" s="15" t="str">
        <f aca="false">IF(OR(D221="",F221=""),"",IF(F221&lt;=1,D221,D221*(1+F221/30)))</f>
        <v/>
      </c>
      <c r="I221" s="15" t="str">
        <f aca="false">IF(OR(D221="",F221="",G221=""),"",IF(F221+MAX(0,10-G221)&lt;=1,D221,D221*(1+(F221+MAX(0,10-G221))/30)))</f>
        <v/>
      </c>
      <c r="J221" s="16" t="str">
        <f aca="false">IF(A221="","",IF(AND(C221="yes",N(G221)&gt;=7),N(E221),0))</f>
        <v/>
      </c>
      <c r="K221" s="17" t="str">
        <f aca="false">IF(A221="","",A221-WEEKDAY(A221,3))</f>
        <v/>
      </c>
      <c r="L221" s="11"/>
    </row>
    <row r="222" customFormat="false" ht="15" hidden="false" customHeight="false" outlineLevel="0" collapsed="false">
      <c r="A222" s="10"/>
      <c r="B222" s="11"/>
      <c r="C222" s="11"/>
      <c r="D222" s="11"/>
      <c r="E222" s="11"/>
      <c r="F222" s="11"/>
      <c r="G222" s="11"/>
      <c r="H222" s="15" t="str">
        <f aca="false">IF(OR(D222="",F222=""),"",IF(F222&lt;=1,D222,D222*(1+F222/30)))</f>
        <v/>
      </c>
      <c r="I222" s="15" t="str">
        <f aca="false">IF(OR(D222="",F222="",G222=""),"",IF(F222+MAX(0,10-G222)&lt;=1,D222,D222*(1+(F222+MAX(0,10-G222))/30)))</f>
        <v/>
      </c>
      <c r="J222" s="16" t="str">
        <f aca="false">IF(A222="","",IF(AND(C222="yes",N(G222)&gt;=7),N(E222),0))</f>
        <v/>
      </c>
      <c r="K222" s="17" t="str">
        <f aca="false">IF(A222="","",A222-WEEKDAY(A222,3))</f>
        <v/>
      </c>
      <c r="L222" s="11"/>
    </row>
    <row r="223" customFormat="false" ht="15" hidden="false" customHeight="false" outlineLevel="0" collapsed="false">
      <c r="A223" s="10"/>
      <c r="B223" s="11"/>
      <c r="C223" s="11"/>
      <c r="D223" s="11"/>
      <c r="E223" s="11"/>
      <c r="F223" s="11"/>
      <c r="G223" s="11"/>
      <c r="H223" s="15" t="str">
        <f aca="false">IF(OR(D223="",F223=""),"",IF(F223&lt;=1,D223,D223*(1+F223/30)))</f>
        <v/>
      </c>
      <c r="I223" s="15" t="str">
        <f aca="false">IF(OR(D223="",F223="",G223=""),"",IF(F223+MAX(0,10-G223)&lt;=1,D223,D223*(1+(F223+MAX(0,10-G223))/30)))</f>
        <v/>
      </c>
      <c r="J223" s="16" t="str">
        <f aca="false">IF(A223="","",IF(AND(C223="yes",N(G223)&gt;=7),N(E223),0))</f>
        <v/>
      </c>
      <c r="K223" s="17" t="str">
        <f aca="false">IF(A223="","",A223-WEEKDAY(A223,3))</f>
        <v/>
      </c>
      <c r="L223" s="11"/>
    </row>
    <row r="224" customFormat="false" ht="15" hidden="false" customHeight="false" outlineLevel="0" collapsed="false">
      <c r="A224" s="10"/>
      <c r="B224" s="11"/>
      <c r="C224" s="11"/>
      <c r="D224" s="11"/>
      <c r="E224" s="11"/>
      <c r="F224" s="11"/>
      <c r="G224" s="11"/>
      <c r="H224" s="15" t="str">
        <f aca="false">IF(OR(D224="",F224=""),"",IF(F224&lt;=1,D224,D224*(1+F224/30)))</f>
        <v/>
      </c>
      <c r="I224" s="15" t="str">
        <f aca="false">IF(OR(D224="",F224="",G224=""),"",IF(F224+MAX(0,10-G224)&lt;=1,D224,D224*(1+(F224+MAX(0,10-G224))/30)))</f>
        <v/>
      </c>
      <c r="J224" s="16" t="str">
        <f aca="false">IF(A224="","",IF(AND(C224="yes",N(G224)&gt;=7),N(E224),0))</f>
        <v/>
      </c>
      <c r="K224" s="17" t="str">
        <f aca="false">IF(A224="","",A224-WEEKDAY(A224,3))</f>
        <v/>
      </c>
      <c r="L224" s="11"/>
    </row>
    <row r="225" customFormat="false" ht="15" hidden="false" customHeight="false" outlineLevel="0" collapsed="false">
      <c r="A225" s="10"/>
      <c r="B225" s="11"/>
      <c r="C225" s="11"/>
      <c r="D225" s="11"/>
      <c r="E225" s="11"/>
      <c r="F225" s="11"/>
      <c r="G225" s="11"/>
      <c r="H225" s="15" t="str">
        <f aca="false">IF(OR(D225="",F225=""),"",IF(F225&lt;=1,D225,D225*(1+F225/30)))</f>
        <v/>
      </c>
      <c r="I225" s="15" t="str">
        <f aca="false">IF(OR(D225="",F225="",G225=""),"",IF(F225+MAX(0,10-G225)&lt;=1,D225,D225*(1+(F225+MAX(0,10-G225))/30)))</f>
        <v/>
      </c>
      <c r="J225" s="16" t="str">
        <f aca="false">IF(A225="","",IF(AND(C225="yes",N(G225)&gt;=7),N(E225),0))</f>
        <v/>
      </c>
      <c r="K225" s="17" t="str">
        <f aca="false">IF(A225="","",A225-WEEKDAY(A225,3))</f>
        <v/>
      </c>
      <c r="L225" s="11"/>
    </row>
    <row r="226" customFormat="false" ht="15" hidden="false" customHeight="false" outlineLevel="0" collapsed="false">
      <c r="A226" s="10"/>
      <c r="B226" s="11"/>
      <c r="C226" s="11"/>
      <c r="D226" s="11"/>
      <c r="E226" s="11"/>
      <c r="F226" s="11"/>
      <c r="G226" s="11"/>
      <c r="H226" s="15" t="str">
        <f aca="false">IF(OR(D226="",F226=""),"",IF(F226&lt;=1,D226,D226*(1+F226/30)))</f>
        <v/>
      </c>
      <c r="I226" s="15" t="str">
        <f aca="false">IF(OR(D226="",F226="",G226=""),"",IF(F226+MAX(0,10-G226)&lt;=1,D226,D226*(1+(F226+MAX(0,10-G226))/30)))</f>
        <v/>
      </c>
      <c r="J226" s="16" t="str">
        <f aca="false">IF(A226="","",IF(AND(C226="yes",N(G226)&gt;=7),N(E226),0))</f>
        <v/>
      </c>
      <c r="K226" s="17" t="str">
        <f aca="false">IF(A226="","",A226-WEEKDAY(A226,3))</f>
        <v/>
      </c>
      <c r="L226" s="11"/>
    </row>
    <row r="227" customFormat="false" ht="15" hidden="false" customHeight="false" outlineLevel="0" collapsed="false">
      <c r="A227" s="10"/>
      <c r="B227" s="11"/>
      <c r="C227" s="11"/>
      <c r="D227" s="11"/>
      <c r="E227" s="11"/>
      <c r="F227" s="11"/>
      <c r="G227" s="11"/>
      <c r="H227" s="15" t="str">
        <f aca="false">IF(OR(D227="",F227=""),"",IF(F227&lt;=1,D227,D227*(1+F227/30)))</f>
        <v/>
      </c>
      <c r="I227" s="15" t="str">
        <f aca="false">IF(OR(D227="",F227="",G227=""),"",IF(F227+MAX(0,10-G227)&lt;=1,D227,D227*(1+(F227+MAX(0,10-G227))/30)))</f>
        <v/>
      </c>
      <c r="J227" s="16" t="str">
        <f aca="false">IF(A227="","",IF(AND(C227="yes",N(G227)&gt;=7),N(E227),0))</f>
        <v/>
      </c>
      <c r="K227" s="17" t="str">
        <f aca="false">IF(A227="","",A227-WEEKDAY(A227,3))</f>
        <v/>
      </c>
      <c r="L227" s="11"/>
    </row>
    <row r="228" customFormat="false" ht="15" hidden="false" customHeight="false" outlineLevel="0" collapsed="false">
      <c r="A228" s="10"/>
      <c r="B228" s="11"/>
      <c r="C228" s="11"/>
      <c r="D228" s="11"/>
      <c r="E228" s="11"/>
      <c r="F228" s="11"/>
      <c r="G228" s="11"/>
      <c r="H228" s="15" t="str">
        <f aca="false">IF(OR(D228="",F228=""),"",IF(F228&lt;=1,D228,D228*(1+F228/30)))</f>
        <v/>
      </c>
      <c r="I228" s="15" t="str">
        <f aca="false">IF(OR(D228="",F228="",G228=""),"",IF(F228+MAX(0,10-G228)&lt;=1,D228,D228*(1+(F228+MAX(0,10-G228))/30)))</f>
        <v/>
      </c>
      <c r="J228" s="16" t="str">
        <f aca="false">IF(A228="","",IF(AND(C228="yes",N(G228)&gt;=7),N(E228),0))</f>
        <v/>
      </c>
      <c r="K228" s="17" t="str">
        <f aca="false">IF(A228="","",A228-WEEKDAY(A228,3))</f>
        <v/>
      </c>
      <c r="L228" s="11"/>
    </row>
    <row r="229" customFormat="false" ht="15" hidden="false" customHeight="false" outlineLevel="0" collapsed="false">
      <c r="A229" s="10"/>
      <c r="B229" s="11"/>
      <c r="C229" s="11"/>
      <c r="D229" s="11"/>
      <c r="E229" s="11"/>
      <c r="F229" s="11"/>
      <c r="G229" s="11"/>
      <c r="H229" s="15" t="str">
        <f aca="false">IF(OR(D229="",F229=""),"",IF(F229&lt;=1,D229,D229*(1+F229/30)))</f>
        <v/>
      </c>
      <c r="I229" s="15" t="str">
        <f aca="false">IF(OR(D229="",F229="",G229=""),"",IF(F229+MAX(0,10-G229)&lt;=1,D229,D229*(1+(F229+MAX(0,10-G229))/30)))</f>
        <v/>
      </c>
      <c r="J229" s="16" t="str">
        <f aca="false">IF(A229="","",IF(AND(C229="yes",N(G229)&gt;=7),N(E229),0))</f>
        <v/>
      </c>
      <c r="K229" s="17" t="str">
        <f aca="false">IF(A229="","",A229-WEEKDAY(A229,3))</f>
        <v/>
      </c>
      <c r="L229" s="11"/>
    </row>
    <row r="230" customFormat="false" ht="15" hidden="false" customHeight="false" outlineLevel="0" collapsed="false">
      <c r="A230" s="10"/>
      <c r="B230" s="11"/>
      <c r="C230" s="11"/>
      <c r="D230" s="11"/>
      <c r="E230" s="11"/>
      <c r="F230" s="11"/>
      <c r="G230" s="11"/>
      <c r="H230" s="15" t="str">
        <f aca="false">IF(OR(D230="",F230=""),"",IF(F230&lt;=1,D230,D230*(1+F230/30)))</f>
        <v/>
      </c>
      <c r="I230" s="15" t="str">
        <f aca="false">IF(OR(D230="",F230="",G230=""),"",IF(F230+MAX(0,10-G230)&lt;=1,D230,D230*(1+(F230+MAX(0,10-G230))/30)))</f>
        <v/>
      </c>
      <c r="J230" s="16" t="str">
        <f aca="false">IF(A230="","",IF(AND(C230="yes",N(G230)&gt;=7),N(E230),0))</f>
        <v/>
      </c>
      <c r="K230" s="17" t="str">
        <f aca="false">IF(A230="","",A230-WEEKDAY(A230,3))</f>
        <v/>
      </c>
      <c r="L230" s="11"/>
    </row>
    <row r="231" customFormat="false" ht="15" hidden="false" customHeight="false" outlineLevel="0" collapsed="false">
      <c r="A231" s="10"/>
      <c r="B231" s="11"/>
      <c r="C231" s="11"/>
      <c r="D231" s="11"/>
      <c r="E231" s="11"/>
      <c r="F231" s="11"/>
      <c r="G231" s="11"/>
      <c r="H231" s="15" t="str">
        <f aca="false">IF(OR(D231="",F231=""),"",IF(F231&lt;=1,D231,D231*(1+F231/30)))</f>
        <v/>
      </c>
      <c r="I231" s="15" t="str">
        <f aca="false">IF(OR(D231="",F231="",G231=""),"",IF(F231+MAX(0,10-G231)&lt;=1,D231,D231*(1+(F231+MAX(0,10-G231))/30)))</f>
        <v/>
      </c>
      <c r="J231" s="16" t="str">
        <f aca="false">IF(A231="","",IF(AND(C231="yes",N(G231)&gt;=7),N(E231),0))</f>
        <v/>
      </c>
      <c r="K231" s="17" t="str">
        <f aca="false">IF(A231="","",A231-WEEKDAY(A231,3))</f>
        <v/>
      </c>
      <c r="L231" s="11"/>
    </row>
    <row r="232" customFormat="false" ht="15" hidden="false" customHeight="false" outlineLevel="0" collapsed="false">
      <c r="A232" s="10"/>
      <c r="B232" s="11"/>
      <c r="C232" s="11"/>
      <c r="D232" s="11"/>
      <c r="E232" s="11"/>
      <c r="F232" s="11"/>
      <c r="G232" s="11"/>
      <c r="H232" s="15" t="str">
        <f aca="false">IF(OR(D232="",F232=""),"",IF(F232&lt;=1,D232,D232*(1+F232/30)))</f>
        <v/>
      </c>
      <c r="I232" s="15" t="str">
        <f aca="false">IF(OR(D232="",F232="",G232=""),"",IF(F232+MAX(0,10-G232)&lt;=1,D232,D232*(1+(F232+MAX(0,10-G232))/30)))</f>
        <v/>
      </c>
      <c r="J232" s="16" t="str">
        <f aca="false">IF(A232="","",IF(AND(C232="yes",N(G232)&gt;=7),N(E232),0))</f>
        <v/>
      </c>
      <c r="K232" s="17" t="str">
        <f aca="false">IF(A232="","",A232-WEEKDAY(A232,3))</f>
        <v/>
      </c>
      <c r="L232" s="11"/>
    </row>
    <row r="233" customFormat="false" ht="15" hidden="false" customHeight="false" outlineLevel="0" collapsed="false">
      <c r="A233" s="10"/>
      <c r="B233" s="11"/>
      <c r="C233" s="11"/>
      <c r="D233" s="11"/>
      <c r="E233" s="11"/>
      <c r="F233" s="11"/>
      <c r="G233" s="11"/>
      <c r="H233" s="15" t="str">
        <f aca="false">IF(OR(D233="",F233=""),"",IF(F233&lt;=1,D233,D233*(1+F233/30)))</f>
        <v/>
      </c>
      <c r="I233" s="15" t="str">
        <f aca="false">IF(OR(D233="",F233="",G233=""),"",IF(F233+MAX(0,10-G233)&lt;=1,D233,D233*(1+(F233+MAX(0,10-G233))/30)))</f>
        <v/>
      </c>
      <c r="J233" s="16" t="str">
        <f aca="false">IF(A233="","",IF(AND(C233="yes",N(G233)&gt;=7),N(E233),0))</f>
        <v/>
      </c>
      <c r="K233" s="17" t="str">
        <f aca="false">IF(A233="","",A233-WEEKDAY(A233,3))</f>
        <v/>
      </c>
      <c r="L233" s="11"/>
    </row>
    <row r="234" customFormat="false" ht="15" hidden="false" customHeight="false" outlineLevel="0" collapsed="false">
      <c r="A234" s="10"/>
      <c r="B234" s="11"/>
      <c r="C234" s="11"/>
      <c r="D234" s="11"/>
      <c r="E234" s="11"/>
      <c r="F234" s="11"/>
      <c r="G234" s="11"/>
      <c r="H234" s="15" t="str">
        <f aca="false">IF(OR(D234="",F234=""),"",IF(F234&lt;=1,D234,D234*(1+F234/30)))</f>
        <v/>
      </c>
      <c r="I234" s="15" t="str">
        <f aca="false">IF(OR(D234="",F234="",G234=""),"",IF(F234+MAX(0,10-G234)&lt;=1,D234,D234*(1+(F234+MAX(0,10-G234))/30)))</f>
        <v/>
      </c>
      <c r="J234" s="16" t="str">
        <f aca="false">IF(A234="","",IF(AND(C234="yes",N(G234)&gt;=7),N(E234),0))</f>
        <v/>
      </c>
      <c r="K234" s="17" t="str">
        <f aca="false">IF(A234="","",A234-WEEKDAY(A234,3))</f>
        <v/>
      </c>
      <c r="L234" s="11"/>
    </row>
    <row r="235" customFormat="false" ht="15" hidden="false" customHeight="false" outlineLevel="0" collapsed="false">
      <c r="A235" s="10"/>
      <c r="B235" s="11"/>
      <c r="C235" s="11"/>
      <c r="D235" s="11"/>
      <c r="E235" s="11"/>
      <c r="F235" s="11"/>
      <c r="G235" s="11"/>
      <c r="H235" s="15" t="str">
        <f aca="false">IF(OR(D235="",F235=""),"",IF(F235&lt;=1,D235,D235*(1+F235/30)))</f>
        <v/>
      </c>
      <c r="I235" s="15" t="str">
        <f aca="false">IF(OR(D235="",F235="",G235=""),"",IF(F235+MAX(0,10-G235)&lt;=1,D235,D235*(1+(F235+MAX(0,10-G235))/30)))</f>
        <v/>
      </c>
      <c r="J235" s="16" t="str">
        <f aca="false">IF(A235="","",IF(AND(C235="yes",N(G235)&gt;=7),N(E235),0))</f>
        <v/>
      </c>
      <c r="K235" s="17" t="str">
        <f aca="false">IF(A235="","",A235-WEEKDAY(A235,3))</f>
        <v/>
      </c>
      <c r="L235" s="11"/>
    </row>
    <row r="236" customFormat="false" ht="15" hidden="false" customHeight="false" outlineLevel="0" collapsed="false">
      <c r="A236" s="10"/>
      <c r="B236" s="11"/>
      <c r="C236" s="11"/>
      <c r="D236" s="11"/>
      <c r="E236" s="11"/>
      <c r="F236" s="11"/>
      <c r="G236" s="11"/>
      <c r="H236" s="15" t="str">
        <f aca="false">IF(OR(D236="",F236=""),"",IF(F236&lt;=1,D236,D236*(1+F236/30)))</f>
        <v/>
      </c>
      <c r="I236" s="15" t="str">
        <f aca="false">IF(OR(D236="",F236="",G236=""),"",IF(F236+MAX(0,10-G236)&lt;=1,D236,D236*(1+(F236+MAX(0,10-G236))/30)))</f>
        <v/>
      </c>
      <c r="J236" s="16" t="str">
        <f aca="false">IF(A236="","",IF(AND(C236="yes",N(G236)&gt;=7),N(E236),0))</f>
        <v/>
      </c>
      <c r="K236" s="17" t="str">
        <f aca="false">IF(A236="","",A236-WEEKDAY(A236,3))</f>
        <v/>
      </c>
      <c r="L236" s="11"/>
    </row>
    <row r="237" customFormat="false" ht="15" hidden="false" customHeight="false" outlineLevel="0" collapsed="false">
      <c r="A237" s="10"/>
      <c r="B237" s="11"/>
      <c r="C237" s="11"/>
      <c r="D237" s="11"/>
      <c r="E237" s="11"/>
      <c r="F237" s="11"/>
      <c r="G237" s="11"/>
      <c r="H237" s="15" t="str">
        <f aca="false">IF(OR(D237="",F237=""),"",IF(F237&lt;=1,D237,D237*(1+F237/30)))</f>
        <v/>
      </c>
      <c r="I237" s="15" t="str">
        <f aca="false">IF(OR(D237="",F237="",G237=""),"",IF(F237+MAX(0,10-G237)&lt;=1,D237,D237*(1+(F237+MAX(0,10-G237))/30)))</f>
        <v/>
      </c>
      <c r="J237" s="16" t="str">
        <f aca="false">IF(A237="","",IF(AND(C237="yes",N(G237)&gt;=7),N(E237),0))</f>
        <v/>
      </c>
      <c r="K237" s="17" t="str">
        <f aca="false">IF(A237="","",A237-WEEKDAY(A237,3))</f>
        <v/>
      </c>
      <c r="L237" s="11"/>
    </row>
    <row r="238" customFormat="false" ht="15" hidden="false" customHeight="false" outlineLevel="0" collapsed="false">
      <c r="A238" s="10"/>
      <c r="B238" s="11"/>
      <c r="C238" s="11"/>
      <c r="D238" s="11"/>
      <c r="E238" s="11"/>
      <c r="F238" s="11"/>
      <c r="G238" s="11"/>
      <c r="H238" s="15" t="str">
        <f aca="false">IF(OR(D238="",F238=""),"",IF(F238&lt;=1,D238,D238*(1+F238/30)))</f>
        <v/>
      </c>
      <c r="I238" s="15" t="str">
        <f aca="false">IF(OR(D238="",F238="",G238=""),"",IF(F238+MAX(0,10-G238)&lt;=1,D238,D238*(1+(F238+MAX(0,10-G238))/30)))</f>
        <v/>
      </c>
      <c r="J238" s="16" t="str">
        <f aca="false">IF(A238="","",IF(AND(C238="yes",N(G238)&gt;=7),N(E238),0))</f>
        <v/>
      </c>
      <c r="K238" s="17" t="str">
        <f aca="false">IF(A238="","",A238-WEEKDAY(A238,3))</f>
        <v/>
      </c>
      <c r="L238" s="11"/>
    </row>
    <row r="239" customFormat="false" ht="15" hidden="false" customHeight="false" outlineLevel="0" collapsed="false">
      <c r="A239" s="10"/>
      <c r="B239" s="11"/>
      <c r="C239" s="11"/>
      <c r="D239" s="11"/>
      <c r="E239" s="11"/>
      <c r="F239" s="11"/>
      <c r="G239" s="11"/>
      <c r="H239" s="15" t="str">
        <f aca="false">IF(OR(D239="",F239=""),"",IF(F239&lt;=1,D239,D239*(1+F239/30)))</f>
        <v/>
      </c>
      <c r="I239" s="15" t="str">
        <f aca="false">IF(OR(D239="",F239="",G239=""),"",IF(F239+MAX(0,10-G239)&lt;=1,D239,D239*(1+(F239+MAX(0,10-G239))/30)))</f>
        <v/>
      </c>
      <c r="J239" s="16" t="str">
        <f aca="false">IF(A239="","",IF(AND(C239="yes",N(G239)&gt;=7),N(E239),0))</f>
        <v/>
      </c>
      <c r="K239" s="17" t="str">
        <f aca="false">IF(A239="","",A239-WEEKDAY(A239,3))</f>
        <v/>
      </c>
      <c r="L239" s="11"/>
    </row>
    <row r="240" customFormat="false" ht="15" hidden="false" customHeight="false" outlineLevel="0" collapsed="false">
      <c r="A240" s="10"/>
      <c r="B240" s="11"/>
      <c r="C240" s="11"/>
      <c r="D240" s="11"/>
      <c r="E240" s="11"/>
      <c r="F240" s="11"/>
      <c r="G240" s="11"/>
      <c r="H240" s="15" t="str">
        <f aca="false">IF(OR(D240="",F240=""),"",IF(F240&lt;=1,D240,D240*(1+F240/30)))</f>
        <v/>
      </c>
      <c r="I240" s="15" t="str">
        <f aca="false">IF(OR(D240="",F240="",G240=""),"",IF(F240+MAX(0,10-G240)&lt;=1,D240,D240*(1+(F240+MAX(0,10-G240))/30)))</f>
        <v/>
      </c>
      <c r="J240" s="16" t="str">
        <f aca="false">IF(A240="","",IF(AND(C240="yes",N(G240)&gt;=7),N(E240),0))</f>
        <v/>
      </c>
      <c r="K240" s="17" t="str">
        <f aca="false">IF(A240="","",A240-WEEKDAY(A240,3))</f>
        <v/>
      </c>
      <c r="L240" s="11"/>
    </row>
    <row r="241" customFormat="false" ht="15" hidden="false" customHeight="false" outlineLevel="0" collapsed="false">
      <c r="A241" s="10"/>
      <c r="B241" s="11"/>
      <c r="C241" s="11"/>
      <c r="D241" s="11"/>
      <c r="E241" s="11"/>
      <c r="F241" s="11"/>
      <c r="G241" s="11"/>
      <c r="H241" s="15" t="str">
        <f aca="false">IF(OR(D241="",F241=""),"",IF(F241&lt;=1,D241,D241*(1+F241/30)))</f>
        <v/>
      </c>
      <c r="I241" s="15" t="str">
        <f aca="false">IF(OR(D241="",F241="",G241=""),"",IF(F241+MAX(0,10-G241)&lt;=1,D241,D241*(1+(F241+MAX(0,10-G241))/30)))</f>
        <v/>
      </c>
      <c r="J241" s="16" t="str">
        <f aca="false">IF(A241="","",IF(AND(C241="yes",N(G241)&gt;=7),N(E241),0))</f>
        <v/>
      </c>
      <c r="K241" s="17" t="str">
        <f aca="false">IF(A241="","",A241-WEEKDAY(A241,3))</f>
        <v/>
      </c>
      <c r="L241" s="11"/>
    </row>
    <row r="242" customFormat="false" ht="15" hidden="false" customHeight="false" outlineLevel="0" collapsed="false">
      <c r="A242" s="10"/>
      <c r="B242" s="11"/>
      <c r="C242" s="11"/>
      <c r="D242" s="11"/>
      <c r="E242" s="11"/>
      <c r="F242" s="11"/>
      <c r="G242" s="11"/>
      <c r="H242" s="15" t="str">
        <f aca="false">IF(OR(D242="",F242=""),"",IF(F242&lt;=1,D242,D242*(1+F242/30)))</f>
        <v/>
      </c>
      <c r="I242" s="15" t="str">
        <f aca="false">IF(OR(D242="",F242="",G242=""),"",IF(F242+MAX(0,10-G242)&lt;=1,D242,D242*(1+(F242+MAX(0,10-G242))/30)))</f>
        <v/>
      </c>
      <c r="J242" s="16" t="str">
        <f aca="false">IF(A242="","",IF(AND(C242="yes",N(G242)&gt;=7),N(E242),0))</f>
        <v/>
      </c>
      <c r="K242" s="17" t="str">
        <f aca="false">IF(A242="","",A242-WEEKDAY(A242,3))</f>
        <v/>
      </c>
      <c r="L242" s="11"/>
    </row>
    <row r="243" customFormat="false" ht="15" hidden="false" customHeight="false" outlineLevel="0" collapsed="false">
      <c r="A243" s="10"/>
      <c r="B243" s="11"/>
      <c r="C243" s="11"/>
      <c r="D243" s="11"/>
      <c r="E243" s="11"/>
      <c r="F243" s="11"/>
      <c r="G243" s="11"/>
      <c r="H243" s="15" t="str">
        <f aca="false">IF(OR(D243="",F243=""),"",IF(F243&lt;=1,D243,D243*(1+F243/30)))</f>
        <v/>
      </c>
      <c r="I243" s="15" t="str">
        <f aca="false">IF(OR(D243="",F243="",G243=""),"",IF(F243+MAX(0,10-G243)&lt;=1,D243,D243*(1+(F243+MAX(0,10-G243))/30)))</f>
        <v/>
      </c>
      <c r="J243" s="16" t="str">
        <f aca="false">IF(A243="","",IF(AND(C243="yes",N(G243)&gt;=7),N(E243),0))</f>
        <v/>
      </c>
      <c r="K243" s="17" t="str">
        <f aca="false">IF(A243="","",A243-WEEKDAY(A243,3))</f>
        <v/>
      </c>
      <c r="L243" s="11"/>
    </row>
    <row r="244" customFormat="false" ht="15" hidden="false" customHeight="false" outlineLevel="0" collapsed="false">
      <c r="A244" s="10"/>
      <c r="B244" s="11"/>
      <c r="C244" s="11"/>
      <c r="D244" s="11"/>
      <c r="E244" s="11"/>
      <c r="F244" s="11"/>
      <c r="G244" s="11"/>
      <c r="H244" s="15" t="str">
        <f aca="false">IF(OR(D244="",F244=""),"",IF(F244&lt;=1,D244,D244*(1+F244/30)))</f>
        <v/>
      </c>
      <c r="I244" s="15" t="str">
        <f aca="false">IF(OR(D244="",F244="",G244=""),"",IF(F244+MAX(0,10-G244)&lt;=1,D244,D244*(1+(F244+MAX(0,10-G244))/30)))</f>
        <v/>
      </c>
      <c r="J244" s="16" t="str">
        <f aca="false">IF(A244="","",IF(AND(C244="yes",N(G244)&gt;=7),N(E244),0))</f>
        <v/>
      </c>
      <c r="K244" s="17" t="str">
        <f aca="false">IF(A244="","",A244-WEEKDAY(A244,3))</f>
        <v/>
      </c>
      <c r="L244" s="11"/>
    </row>
    <row r="245" customFormat="false" ht="15" hidden="false" customHeight="false" outlineLevel="0" collapsed="false">
      <c r="A245" s="10"/>
      <c r="B245" s="11"/>
      <c r="C245" s="11"/>
      <c r="D245" s="11"/>
      <c r="E245" s="11"/>
      <c r="F245" s="11"/>
      <c r="G245" s="11"/>
      <c r="H245" s="15" t="str">
        <f aca="false">IF(OR(D245="",F245=""),"",IF(F245&lt;=1,D245,D245*(1+F245/30)))</f>
        <v/>
      </c>
      <c r="I245" s="15" t="str">
        <f aca="false">IF(OR(D245="",F245="",G245=""),"",IF(F245+MAX(0,10-G245)&lt;=1,D245,D245*(1+(F245+MAX(0,10-G245))/30)))</f>
        <v/>
      </c>
      <c r="J245" s="16" t="str">
        <f aca="false">IF(A245="","",IF(AND(C245="yes",N(G245)&gt;=7),N(E245),0))</f>
        <v/>
      </c>
      <c r="K245" s="17" t="str">
        <f aca="false">IF(A245="","",A245-WEEKDAY(A245,3))</f>
        <v/>
      </c>
      <c r="L245" s="11"/>
    </row>
    <row r="246" customFormat="false" ht="15" hidden="false" customHeight="false" outlineLevel="0" collapsed="false">
      <c r="A246" s="10"/>
      <c r="B246" s="11"/>
      <c r="C246" s="11"/>
      <c r="D246" s="11"/>
      <c r="E246" s="11"/>
      <c r="F246" s="11"/>
      <c r="G246" s="11"/>
      <c r="H246" s="15" t="str">
        <f aca="false">IF(OR(D246="",F246=""),"",IF(F246&lt;=1,D246,D246*(1+F246/30)))</f>
        <v/>
      </c>
      <c r="I246" s="15" t="str">
        <f aca="false">IF(OR(D246="",F246="",G246=""),"",IF(F246+MAX(0,10-G246)&lt;=1,D246,D246*(1+(F246+MAX(0,10-G246))/30)))</f>
        <v/>
      </c>
      <c r="J246" s="16" t="str">
        <f aca="false">IF(A246="","",IF(AND(C246="yes",N(G246)&gt;=7),N(E246),0))</f>
        <v/>
      </c>
      <c r="K246" s="17" t="str">
        <f aca="false">IF(A246="","",A246-WEEKDAY(A246,3))</f>
        <v/>
      </c>
      <c r="L246" s="11"/>
    </row>
    <row r="247" customFormat="false" ht="15" hidden="false" customHeight="false" outlineLevel="0" collapsed="false">
      <c r="A247" s="10"/>
      <c r="B247" s="11"/>
      <c r="C247" s="11"/>
      <c r="D247" s="11"/>
      <c r="E247" s="11"/>
      <c r="F247" s="11"/>
      <c r="G247" s="11"/>
      <c r="H247" s="15" t="str">
        <f aca="false">IF(OR(D247="",F247=""),"",IF(F247&lt;=1,D247,D247*(1+F247/30)))</f>
        <v/>
      </c>
      <c r="I247" s="15" t="str">
        <f aca="false">IF(OR(D247="",F247="",G247=""),"",IF(F247+MAX(0,10-G247)&lt;=1,D247,D247*(1+(F247+MAX(0,10-G247))/30)))</f>
        <v/>
      </c>
      <c r="J247" s="16" t="str">
        <f aca="false">IF(A247="","",IF(AND(C247="yes",N(G247)&gt;=7),N(E247),0))</f>
        <v/>
      </c>
      <c r="K247" s="17" t="str">
        <f aca="false">IF(A247="","",A247-WEEKDAY(A247,3))</f>
        <v/>
      </c>
      <c r="L247" s="11"/>
    </row>
    <row r="248" customFormat="false" ht="15" hidden="false" customHeight="false" outlineLevel="0" collapsed="false">
      <c r="A248" s="10"/>
      <c r="B248" s="11"/>
      <c r="C248" s="11"/>
      <c r="D248" s="11"/>
      <c r="E248" s="11"/>
      <c r="F248" s="11"/>
      <c r="G248" s="11"/>
      <c r="H248" s="15" t="str">
        <f aca="false">IF(OR(D248="",F248=""),"",IF(F248&lt;=1,D248,D248*(1+F248/30)))</f>
        <v/>
      </c>
      <c r="I248" s="15" t="str">
        <f aca="false">IF(OR(D248="",F248="",G248=""),"",IF(F248+MAX(0,10-G248)&lt;=1,D248,D248*(1+(F248+MAX(0,10-G248))/30)))</f>
        <v/>
      </c>
      <c r="J248" s="16" t="str">
        <f aca="false">IF(A248="","",IF(AND(C248="yes",N(G248)&gt;=7),N(E248),0))</f>
        <v/>
      </c>
      <c r="K248" s="17" t="str">
        <f aca="false">IF(A248="","",A248-WEEKDAY(A248,3))</f>
        <v/>
      </c>
      <c r="L248" s="11"/>
    </row>
    <row r="249" customFormat="false" ht="15" hidden="false" customHeight="false" outlineLevel="0" collapsed="false">
      <c r="A249" s="10"/>
      <c r="B249" s="11"/>
      <c r="C249" s="11"/>
      <c r="D249" s="11"/>
      <c r="E249" s="11"/>
      <c r="F249" s="11"/>
      <c r="G249" s="11"/>
      <c r="H249" s="15" t="str">
        <f aca="false">IF(OR(D249="",F249=""),"",IF(F249&lt;=1,D249,D249*(1+F249/30)))</f>
        <v/>
      </c>
      <c r="I249" s="15" t="str">
        <f aca="false">IF(OR(D249="",F249="",G249=""),"",IF(F249+MAX(0,10-G249)&lt;=1,D249,D249*(1+(F249+MAX(0,10-G249))/30)))</f>
        <v/>
      </c>
      <c r="J249" s="16" t="str">
        <f aca="false">IF(A249="","",IF(AND(C249="yes",N(G249)&gt;=7),N(E249),0))</f>
        <v/>
      </c>
      <c r="K249" s="17" t="str">
        <f aca="false">IF(A249="","",A249-WEEKDAY(A249,3))</f>
        <v/>
      </c>
      <c r="L249" s="11"/>
    </row>
    <row r="250" customFormat="false" ht="15" hidden="false" customHeight="false" outlineLevel="0" collapsed="false">
      <c r="A250" s="10"/>
      <c r="B250" s="11"/>
      <c r="C250" s="11"/>
      <c r="D250" s="11"/>
      <c r="E250" s="11"/>
      <c r="F250" s="11"/>
      <c r="G250" s="11"/>
      <c r="H250" s="15" t="str">
        <f aca="false">IF(OR(D250="",F250=""),"",IF(F250&lt;=1,D250,D250*(1+F250/30)))</f>
        <v/>
      </c>
      <c r="I250" s="15" t="str">
        <f aca="false">IF(OR(D250="",F250="",G250=""),"",IF(F250+MAX(0,10-G250)&lt;=1,D250,D250*(1+(F250+MAX(0,10-G250))/30)))</f>
        <v/>
      </c>
      <c r="J250" s="16" t="str">
        <f aca="false">IF(A250="","",IF(AND(C250="yes",N(G250)&gt;=7),N(E250),0))</f>
        <v/>
      </c>
      <c r="K250" s="17" t="str">
        <f aca="false">IF(A250="","",A250-WEEKDAY(A250,3))</f>
        <v/>
      </c>
      <c r="L250" s="11"/>
    </row>
    <row r="251" customFormat="false" ht="15" hidden="false" customHeight="false" outlineLevel="0" collapsed="false">
      <c r="A251" s="10"/>
      <c r="B251" s="11"/>
      <c r="C251" s="11"/>
      <c r="D251" s="11"/>
      <c r="E251" s="11"/>
      <c r="F251" s="11"/>
      <c r="G251" s="11"/>
      <c r="H251" s="15" t="str">
        <f aca="false">IF(OR(D251="",F251=""),"",IF(F251&lt;=1,D251,D251*(1+F251/30)))</f>
        <v/>
      </c>
      <c r="I251" s="15" t="str">
        <f aca="false">IF(OR(D251="",F251="",G251=""),"",IF(F251+MAX(0,10-G251)&lt;=1,D251,D251*(1+(F251+MAX(0,10-G251))/30)))</f>
        <v/>
      </c>
      <c r="J251" s="16" t="str">
        <f aca="false">IF(A251="","",IF(AND(C251="yes",N(G251)&gt;=7),N(E251),0))</f>
        <v/>
      </c>
      <c r="K251" s="17" t="str">
        <f aca="false">IF(A251="","",A251-WEEKDAY(A251,3))</f>
        <v/>
      </c>
      <c r="L251" s="11"/>
    </row>
    <row r="252" customFormat="false" ht="15" hidden="false" customHeight="false" outlineLevel="0" collapsed="false">
      <c r="A252" s="10"/>
      <c r="B252" s="11"/>
      <c r="C252" s="11"/>
      <c r="D252" s="11"/>
      <c r="E252" s="11"/>
      <c r="F252" s="11"/>
      <c r="G252" s="11"/>
      <c r="H252" s="15" t="str">
        <f aca="false">IF(OR(D252="",F252=""),"",IF(F252&lt;=1,D252,D252*(1+F252/30)))</f>
        <v/>
      </c>
      <c r="I252" s="15" t="str">
        <f aca="false">IF(OR(D252="",F252="",G252=""),"",IF(F252+MAX(0,10-G252)&lt;=1,D252,D252*(1+(F252+MAX(0,10-G252))/30)))</f>
        <v/>
      </c>
      <c r="J252" s="16" t="str">
        <f aca="false">IF(A252="","",IF(AND(C252="yes",N(G252)&gt;=7),N(E252),0))</f>
        <v/>
      </c>
      <c r="K252" s="17" t="str">
        <f aca="false">IF(A252="","",A252-WEEKDAY(A252,3))</f>
        <v/>
      </c>
      <c r="L252" s="11"/>
    </row>
    <row r="253" customFormat="false" ht="15" hidden="false" customHeight="false" outlineLevel="0" collapsed="false">
      <c r="A253" s="10"/>
      <c r="B253" s="11"/>
      <c r="C253" s="11"/>
      <c r="D253" s="11"/>
      <c r="E253" s="11"/>
      <c r="F253" s="11"/>
      <c r="G253" s="11"/>
      <c r="H253" s="15" t="str">
        <f aca="false">IF(OR(D253="",F253=""),"",IF(F253&lt;=1,D253,D253*(1+F253/30)))</f>
        <v/>
      </c>
      <c r="I253" s="15" t="str">
        <f aca="false">IF(OR(D253="",F253="",G253=""),"",IF(F253+MAX(0,10-G253)&lt;=1,D253,D253*(1+(F253+MAX(0,10-G253))/30)))</f>
        <v/>
      </c>
      <c r="J253" s="16" t="str">
        <f aca="false">IF(A253="","",IF(AND(C253="yes",N(G253)&gt;=7),N(E253),0))</f>
        <v/>
      </c>
      <c r="K253" s="17" t="str">
        <f aca="false">IF(A253="","",A253-WEEKDAY(A253,3))</f>
        <v/>
      </c>
      <c r="L253" s="11"/>
    </row>
    <row r="254" customFormat="false" ht="15" hidden="false" customHeight="false" outlineLevel="0" collapsed="false">
      <c r="A254" s="10"/>
      <c r="B254" s="11"/>
      <c r="C254" s="11"/>
      <c r="D254" s="11"/>
      <c r="E254" s="11"/>
      <c r="F254" s="11"/>
      <c r="G254" s="11"/>
      <c r="H254" s="15" t="str">
        <f aca="false">IF(OR(D254="",F254=""),"",IF(F254&lt;=1,D254,D254*(1+F254/30)))</f>
        <v/>
      </c>
      <c r="I254" s="15" t="str">
        <f aca="false">IF(OR(D254="",F254="",G254=""),"",IF(F254+MAX(0,10-G254)&lt;=1,D254,D254*(1+(F254+MAX(0,10-G254))/30)))</f>
        <v/>
      </c>
      <c r="J254" s="16" t="str">
        <f aca="false">IF(A254="","",IF(AND(C254="yes",N(G254)&gt;=7),N(E254),0))</f>
        <v/>
      </c>
      <c r="K254" s="17" t="str">
        <f aca="false">IF(A254="","",A254-WEEKDAY(A254,3))</f>
        <v/>
      </c>
      <c r="L254" s="11"/>
    </row>
    <row r="255" customFormat="false" ht="15" hidden="false" customHeight="false" outlineLevel="0" collapsed="false">
      <c r="A255" s="10"/>
      <c r="B255" s="11"/>
      <c r="C255" s="11"/>
      <c r="D255" s="11"/>
      <c r="E255" s="11"/>
      <c r="F255" s="11"/>
      <c r="G255" s="11"/>
      <c r="H255" s="15" t="str">
        <f aca="false">IF(OR(D255="",F255=""),"",IF(F255&lt;=1,D255,D255*(1+F255/30)))</f>
        <v/>
      </c>
      <c r="I255" s="15" t="str">
        <f aca="false">IF(OR(D255="",F255="",G255=""),"",IF(F255+MAX(0,10-G255)&lt;=1,D255,D255*(1+(F255+MAX(0,10-G255))/30)))</f>
        <v/>
      </c>
      <c r="J255" s="16" t="str">
        <f aca="false">IF(A255="","",IF(AND(C255="yes",N(G255)&gt;=7),N(E255),0))</f>
        <v/>
      </c>
      <c r="K255" s="17" t="str">
        <f aca="false">IF(A255="","",A255-WEEKDAY(A255,3))</f>
        <v/>
      </c>
      <c r="L255" s="11"/>
    </row>
    <row r="256" customFormat="false" ht="15" hidden="false" customHeight="false" outlineLevel="0" collapsed="false">
      <c r="A256" s="10"/>
      <c r="B256" s="11"/>
      <c r="C256" s="11"/>
      <c r="D256" s="11"/>
      <c r="E256" s="11"/>
      <c r="F256" s="11"/>
      <c r="G256" s="11"/>
      <c r="H256" s="15" t="str">
        <f aca="false">IF(OR(D256="",F256=""),"",IF(F256&lt;=1,D256,D256*(1+F256/30)))</f>
        <v/>
      </c>
      <c r="I256" s="15" t="str">
        <f aca="false">IF(OR(D256="",F256="",G256=""),"",IF(F256+MAX(0,10-G256)&lt;=1,D256,D256*(1+(F256+MAX(0,10-G256))/30)))</f>
        <v/>
      </c>
      <c r="J256" s="16" t="str">
        <f aca="false">IF(A256="","",IF(AND(C256="yes",N(G256)&gt;=7),N(E256),0))</f>
        <v/>
      </c>
      <c r="K256" s="17" t="str">
        <f aca="false">IF(A256="","",A256-WEEKDAY(A256,3))</f>
        <v/>
      </c>
      <c r="L256" s="11"/>
    </row>
    <row r="257" customFormat="false" ht="15" hidden="false" customHeight="false" outlineLevel="0" collapsed="false">
      <c r="A257" s="10"/>
      <c r="B257" s="11"/>
      <c r="C257" s="11"/>
      <c r="D257" s="11"/>
      <c r="E257" s="11"/>
      <c r="F257" s="11"/>
      <c r="G257" s="11"/>
      <c r="H257" s="15" t="str">
        <f aca="false">IF(OR(D257="",F257=""),"",IF(F257&lt;=1,D257,D257*(1+F257/30)))</f>
        <v/>
      </c>
      <c r="I257" s="15" t="str">
        <f aca="false">IF(OR(D257="",F257="",G257=""),"",IF(F257+MAX(0,10-G257)&lt;=1,D257,D257*(1+(F257+MAX(0,10-G257))/30)))</f>
        <v/>
      </c>
      <c r="J257" s="16" t="str">
        <f aca="false">IF(A257="","",IF(AND(C257="yes",N(G257)&gt;=7),N(E257),0))</f>
        <v/>
      </c>
      <c r="K257" s="17" t="str">
        <f aca="false">IF(A257="","",A257-WEEKDAY(A257,3))</f>
        <v/>
      </c>
      <c r="L257" s="11"/>
    </row>
    <row r="258" customFormat="false" ht="15" hidden="false" customHeight="false" outlineLevel="0" collapsed="false">
      <c r="A258" s="10"/>
      <c r="B258" s="11"/>
      <c r="C258" s="11"/>
      <c r="D258" s="11"/>
      <c r="E258" s="11"/>
      <c r="F258" s="11"/>
      <c r="G258" s="11"/>
      <c r="H258" s="15" t="str">
        <f aca="false">IF(OR(D258="",F258=""),"",IF(F258&lt;=1,D258,D258*(1+F258/30)))</f>
        <v/>
      </c>
      <c r="I258" s="15" t="str">
        <f aca="false">IF(OR(D258="",F258="",G258=""),"",IF(F258+MAX(0,10-G258)&lt;=1,D258,D258*(1+(F258+MAX(0,10-G258))/30)))</f>
        <v/>
      </c>
      <c r="J258" s="16" t="str">
        <f aca="false">IF(A258="","",IF(AND(C258="yes",N(G258)&gt;=7),N(E258),0))</f>
        <v/>
      </c>
      <c r="K258" s="17" t="str">
        <f aca="false">IF(A258="","",A258-WEEKDAY(A258,3))</f>
        <v/>
      </c>
      <c r="L258" s="11"/>
    </row>
    <row r="259" customFormat="false" ht="15" hidden="false" customHeight="false" outlineLevel="0" collapsed="false">
      <c r="A259" s="10"/>
      <c r="B259" s="11"/>
      <c r="C259" s="11"/>
      <c r="D259" s="11"/>
      <c r="E259" s="11"/>
      <c r="F259" s="11"/>
      <c r="G259" s="11"/>
      <c r="H259" s="15" t="str">
        <f aca="false">IF(OR(D259="",F259=""),"",IF(F259&lt;=1,D259,D259*(1+F259/30)))</f>
        <v/>
      </c>
      <c r="I259" s="15" t="str">
        <f aca="false">IF(OR(D259="",F259="",G259=""),"",IF(F259+MAX(0,10-G259)&lt;=1,D259,D259*(1+(F259+MAX(0,10-G259))/30)))</f>
        <v/>
      </c>
      <c r="J259" s="16" t="str">
        <f aca="false">IF(A259="","",IF(AND(C259="yes",N(G259)&gt;=7),N(E259),0))</f>
        <v/>
      </c>
      <c r="K259" s="17" t="str">
        <f aca="false">IF(A259="","",A259-WEEKDAY(A259,3))</f>
        <v/>
      </c>
      <c r="L259" s="11"/>
    </row>
    <row r="260" customFormat="false" ht="15" hidden="false" customHeight="false" outlineLevel="0" collapsed="false">
      <c r="A260" s="10"/>
      <c r="B260" s="11"/>
      <c r="C260" s="11"/>
      <c r="D260" s="11"/>
      <c r="E260" s="11"/>
      <c r="F260" s="11"/>
      <c r="G260" s="11"/>
      <c r="H260" s="15" t="str">
        <f aca="false">IF(OR(D260="",F260=""),"",IF(F260&lt;=1,D260,D260*(1+F260/30)))</f>
        <v/>
      </c>
      <c r="I260" s="15" t="str">
        <f aca="false">IF(OR(D260="",F260="",G260=""),"",IF(F260+MAX(0,10-G260)&lt;=1,D260,D260*(1+(F260+MAX(0,10-G260))/30)))</f>
        <v/>
      </c>
      <c r="J260" s="16" t="str">
        <f aca="false">IF(A260="","",IF(AND(C260="yes",N(G260)&gt;=7),N(E260),0))</f>
        <v/>
      </c>
      <c r="K260" s="17" t="str">
        <f aca="false">IF(A260="","",A260-WEEKDAY(A260,3))</f>
        <v/>
      </c>
      <c r="L260" s="11"/>
    </row>
    <row r="261" customFormat="false" ht="15" hidden="false" customHeight="false" outlineLevel="0" collapsed="false">
      <c r="A261" s="10"/>
      <c r="B261" s="11"/>
      <c r="C261" s="11"/>
      <c r="D261" s="11"/>
      <c r="E261" s="11"/>
      <c r="F261" s="11"/>
      <c r="G261" s="11"/>
      <c r="H261" s="15" t="str">
        <f aca="false">IF(OR(D261="",F261=""),"",IF(F261&lt;=1,D261,D261*(1+F261/30)))</f>
        <v/>
      </c>
      <c r="I261" s="15" t="str">
        <f aca="false">IF(OR(D261="",F261="",G261=""),"",IF(F261+MAX(0,10-G261)&lt;=1,D261,D261*(1+(F261+MAX(0,10-G261))/30)))</f>
        <v/>
      </c>
      <c r="J261" s="16" t="str">
        <f aca="false">IF(A261="","",IF(AND(C261="yes",N(G261)&gt;=7),N(E261),0))</f>
        <v/>
      </c>
      <c r="K261" s="17" t="str">
        <f aca="false">IF(A261="","",A261-WEEKDAY(A261,3))</f>
        <v/>
      </c>
      <c r="L261" s="11"/>
    </row>
    <row r="262" customFormat="false" ht="15" hidden="false" customHeight="false" outlineLevel="0" collapsed="false">
      <c r="A262" s="10"/>
      <c r="B262" s="11"/>
      <c r="C262" s="11"/>
      <c r="D262" s="11"/>
      <c r="E262" s="11"/>
      <c r="F262" s="11"/>
      <c r="G262" s="11"/>
      <c r="H262" s="15" t="str">
        <f aca="false">IF(OR(D262="",F262=""),"",IF(F262&lt;=1,D262,D262*(1+F262/30)))</f>
        <v/>
      </c>
      <c r="I262" s="15" t="str">
        <f aca="false">IF(OR(D262="",F262="",G262=""),"",IF(F262+MAX(0,10-G262)&lt;=1,D262,D262*(1+(F262+MAX(0,10-G262))/30)))</f>
        <v/>
      </c>
      <c r="J262" s="16" t="str">
        <f aca="false">IF(A262="","",IF(AND(C262="yes",N(G262)&gt;=7),N(E262),0))</f>
        <v/>
      </c>
      <c r="K262" s="17" t="str">
        <f aca="false">IF(A262="","",A262-WEEKDAY(A262,3))</f>
        <v/>
      </c>
      <c r="L262" s="11"/>
    </row>
    <row r="263" customFormat="false" ht="15" hidden="false" customHeight="false" outlineLevel="0" collapsed="false">
      <c r="A263" s="10"/>
      <c r="B263" s="11"/>
      <c r="C263" s="11"/>
      <c r="D263" s="11"/>
      <c r="E263" s="11"/>
      <c r="F263" s="11"/>
      <c r="G263" s="11"/>
      <c r="H263" s="15" t="str">
        <f aca="false">IF(OR(D263="",F263=""),"",IF(F263&lt;=1,D263,D263*(1+F263/30)))</f>
        <v/>
      </c>
      <c r="I263" s="15" t="str">
        <f aca="false">IF(OR(D263="",F263="",G263=""),"",IF(F263+MAX(0,10-G263)&lt;=1,D263,D263*(1+(F263+MAX(0,10-G263))/30)))</f>
        <v/>
      </c>
      <c r="J263" s="16" t="str">
        <f aca="false">IF(A263="","",IF(AND(C263="yes",N(G263)&gt;=7),N(E263),0))</f>
        <v/>
      </c>
      <c r="K263" s="17" t="str">
        <f aca="false">IF(A263="","",A263-WEEKDAY(A263,3))</f>
        <v/>
      </c>
      <c r="L263" s="11"/>
    </row>
    <row r="264" customFormat="false" ht="15" hidden="false" customHeight="false" outlineLevel="0" collapsed="false">
      <c r="A264" s="10"/>
      <c r="B264" s="11"/>
      <c r="C264" s="11"/>
      <c r="D264" s="11"/>
      <c r="E264" s="11"/>
      <c r="F264" s="11"/>
      <c r="G264" s="11"/>
      <c r="H264" s="15" t="str">
        <f aca="false">IF(OR(D264="",F264=""),"",IF(F264&lt;=1,D264,D264*(1+F264/30)))</f>
        <v/>
      </c>
      <c r="I264" s="15" t="str">
        <f aca="false">IF(OR(D264="",F264="",G264=""),"",IF(F264+MAX(0,10-G264)&lt;=1,D264,D264*(1+(F264+MAX(0,10-G264))/30)))</f>
        <v/>
      </c>
      <c r="J264" s="16" t="str">
        <f aca="false">IF(A264="","",IF(AND(C264="yes",N(G264)&gt;=7),N(E264),0))</f>
        <v/>
      </c>
      <c r="K264" s="17" t="str">
        <f aca="false">IF(A264="","",A264-WEEKDAY(A264,3))</f>
        <v/>
      </c>
      <c r="L264" s="11"/>
    </row>
    <row r="265" customFormat="false" ht="15" hidden="false" customHeight="false" outlineLevel="0" collapsed="false">
      <c r="A265" s="10"/>
      <c r="B265" s="11"/>
      <c r="C265" s="11"/>
      <c r="D265" s="11"/>
      <c r="E265" s="11"/>
      <c r="F265" s="11"/>
      <c r="G265" s="11"/>
      <c r="H265" s="15" t="str">
        <f aca="false">IF(OR(D265="",F265=""),"",IF(F265&lt;=1,D265,D265*(1+F265/30)))</f>
        <v/>
      </c>
      <c r="I265" s="15" t="str">
        <f aca="false">IF(OR(D265="",F265="",G265=""),"",IF(F265+MAX(0,10-G265)&lt;=1,D265,D265*(1+(F265+MAX(0,10-G265))/30)))</f>
        <v/>
      </c>
      <c r="J265" s="16" t="str">
        <f aca="false">IF(A265="","",IF(AND(C265="yes",N(G265)&gt;=7),N(E265),0))</f>
        <v/>
      </c>
      <c r="K265" s="17" t="str">
        <f aca="false">IF(A265="","",A265-WEEKDAY(A265,3))</f>
        <v/>
      </c>
      <c r="L265" s="11"/>
    </row>
    <row r="266" customFormat="false" ht="15" hidden="false" customHeight="false" outlineLevel="0" collapsed="false">
      <c r="A266" s="10"/>
      <c r="B266" s="11"/>
      <c r="C266" s="11"/>
      <c r="D266" s="11"/>
      <c r="E266" s="11"/>
      <c r="F266" s="11"/>
      <c r="G266" s="11"/>
      <c r="H266" s="15" t="str">
        <f aca="false">IF(OR(D266="",F266=""),"",IF(F266&lt;=1,D266,D266*(1+F266/30)))</f>
        <v/>
      </c>
      <c r="I266" s="15" t="str">
        <f aca="false">IF(OR(D266="",F266="",G266=""),"",IF(F266+MAX(0,10-G266)&lt;=1,D266,D266*(1+(F266+MAX(0,10-G266))/30)))</f>
        <v/>
      </c>
      <c r="J266" s="16" t="str">
        <f aca="false">IF(A266="","",IF(AND(C266="yes",N(G266)&gt;=7),N(E266),0))</f>
        <v/>
      </c>
      <c r="K266" s="17" t="str">
        <f aca="false">IF(A266="","",A266-WEEKDAY(A266,3))</f>
        <v/>
      </c>
      <c r="L266" s="11"/>
    </row>
    <row r="267" customFormat="false" ht="15" hidden="false" customHeight="false" outlineLevel="0" collapsed="false">
      <c r="A267" s="10"/>
      <c r="B267" s="11"/>
      <c r="C267" s="11"/>
      <c r="D267" s="11"/>
      <c r="E267" s="11"/>
      <c r="F267" s="11"/>
      <c r="G267" s="11"/>
      <c r="H267" s="15" t="str">
        <f aca="false">IF(OR(D267="",F267=""),"",IF(F267&lt;=1,D267,D267*(1+F267/30)))</f>
        <v/>
      </c>
      <c r="I267" s="15" t="str">
        <f aca="false">IF(OR(D267="",F267="",G267=""),"",IF(F267+MAX(0,10-G267)&lt;=1,D267,D267*(1+(F267+MAX(0,10-G267))/30)))</f>
        <v/>
      </c>
      <c r="J267" s="16" t="str">
        <f aca="false">IF(A267="","",IF(AND(C267="yes",N(G267)&gt;=7),N(E267),0))</f>
        <v/>
      </c>
      <c r="K267" s="17" t="str">
        <f aca="false">IF(A267="","",A267-WEEKDAY(A267,3))</f>
        <v/>
      </c>
      <c r="L267" s="11"/>
    </row>
    <row r="268" customFormat="false" ht="15" hidden="false" customHeight="false" outlineLevel="0" collapsed="false">
      <c r="A268" s="10"/>
      <c r="B268" s="11"/>
      <c r="C268" s="11"/>
      <c r="D268" s="11"/>
      <c r="E268" s="11"/>
      <c r="F268" s="11"/>
      <c r="G268" s="11"/>
      <c r="H268" s="15" t="str">
        <f aca="false">IF(OR(D268="",F268=""),"",IF(F268&lt;=1,D268,D268*(1+F268/30)))</f>
        <v/>
      </c>
      <c r="I268" s="15" t="str">
        <f aca="false">IF(OR(D268="",F268="",G268=""),"",IF(F268+MAX(0,10-G268)&lt;=1,D268,D268*(1+(F268+MAX(0,10-G268))/30)))</f>
        <v/>
      </c>
      <c r="J268" s="16" t="str">
        <f aca="false">IF(A268="","",IF(AND(C268="yes",N(G268)&gt;=7),N(E268),0))</f>
        <v/>
      </c>
      <c r="K268" s="17" t="str">
        <f aca="false">IF(A268="","",A268-WEEKDAY(A268,3))</f>
        <v/>
      </c>
      <c r="L268" s="11"/>
    </row>
    <row r="269" customFormat="false" ht="15" hidden="false" customHeight="false" outlineLevel="0" collapsed="false">
      <c r="A269" s="10"/>
      <c r="B269" s="11"/>
      <c r="C269" s="11"/>
      <c r="D269" s="11"/>
      <c r="E269" s="11"/>
      <c r="F269" s="11"/>
      <c r="G269" s="11"/>
      <c r="H269" s="15" t="str">
        <f aca="false">IF(OR(D269="",F269=""),"",IF(F269&lt;=1,D269,D269*(1+F269/30)))</f>
        <v/>
      </c>
      <c r="I269" s="15" t="str">
        <f aca="false">IF(OR(D269="",F269="",G269=""),"",IF(F269+MAX(0,10-G269)&lt;=1,D269,D269*(1+(F269+MAX(0,10-G269))/30)))</f>
        <v/>
      </c>
      <c r="J269" s="16" t="str">
        <f aca="false">IF(A269="","",IF(AND(C269="yes",N(G269)&gt;=7),N(E269),0))</f>
        <v/>
      </c>
      <c r="K269" s="17" t="str">
        <f aca="false">IF(A269="","",A269-WEEKDAY(A269,3))</f>
        <v/>
      </c>
      <c r="L269" s="11"/>
    </row>
    <row r="270" customFormat="false" ht="15" hidden="false" customHeight="false" outlineLevel="0" collapsed="false">
      <c r="A270" s="10"/>
      <c r="B270" s="11"/>
      <c r="C270" s="11"/>
      <c r="D270" s="11"/>
      <c r="E270" s="11"/>
      <c r="F270" s="11"/>
      <c r="G270" s="11"/>
      <c r="H270" s="15" t="str">
        <f aca="false">IF(OR(D270="",F270=""),"",IF(F270&lt;=1,D270,D270*(1+F270/30)))</f>
        <v/>
      </c>
      <c r="I270" s="15" t="str">
        <f aca="false">IF(OR(D270="",F270="",G270=""),"",IF(F270+MAX(0,10-G270)&lt;=1,D270,D270*(1+(F270+MAX(0,10-G270))/30)))</f>
        <v/>
      </c>
      <c r="J270" s="16" t="str">
        <f aca="false">IF(A270="","",IF(AND(C270="yes",N(G270)&gt;=7),N(E270),0))</f>
        <v/>
      </c>
      <c r="K270" s="17" t="str">
        <f aca="false">IF(A270="","",A270-WEEKDAY(A270,3))</f>
        <v/>
      </c>
      <c r="L270" s="11"/>
    </row>
    <row r="271" customFormat="false" ht="15" hidden="false" customHeight="false" outlineLevel="0" collapsed="false">
      <c r="A271" s="10"/>
      <c r="B271" s="11"/>
      <c r="C271" s="11"/>
      <c r="D271" s="11"/>
      <c r="E271" s="11"/>
      <c r="F271" s="11"/>
      <c r="G271" s="11"/>
      <c r="H271" s="15" t="str">
        <f aca="false">IF(OR(D271="",F271=""),"",IF(F271&lt;=1,D271,D271*(1+F271/30)))</f>
        <v/>
      </c>
      <c r="I271" s="15" t="str">
        <f aca="false">IF(OR(D271="",F271="",G271=""),"",IF(F271+MAX(0,10-G271)&lt;=1,D271,D271*(1+(F271+MAX(0,10-G271))/30)))</f>
        <v/>
      </c>
      <c r="J271" s="16" t="str">
        <f aca="false">IF(A271="","",IF(AND(C271="yes",N(G271)&gt;=7),N(E271),0))</f>
        <v/>
      </c>
      <c r="K271" s="17" t="str">
        <f aca="false">IF(A271="","",A271-WEEKDAY(A271,3))</f>
        <v/>
      </c>
      <c r="L271" s="11"/>
    </row>
    <row r="272" customFormat="false" ht="15" hidden="false" customHeight="false" outlineLevel="0" collapsed="false">
      <c r="A272" s="10"/>
      <c r="B272" s="11"/>
      <c r="C272" s="11"/>
      <c r="D272" s="11"/>
      <c r="E272" s="11"/>
      <c r="F272" s="11"/>
      <c r="G272" s="11"/>
      <c r="H272" s="15" t="str">
        <f aca="false">IF(OR(D272="",F272=""),"",IF(F272&lt;=1,D272,D272*(1+F272/30)))</f>
        <v/>
      </c>
      <c r="I272" s="15" t="str">
        <f aca="false">IF(OR(D272="",F272="",G272=""),"",IF(F272+MAX(0,10-G272)&lt;=1,D272,D272*(1+(F272+MAX(0,10-G272))/30)))</f>
        <v/>
      </c>
      <c r="J272" s="16" t="str">
        <f aca="false">IF(A272="","",IF(AND(C272="yes",N(G272)&gt;=7),N(E272),0))</f>
        <v/>
      </c>
      <c r="K272" s="17" t="str">
        <f aca="false">IF(A272="","",A272-WEEKDAY(A272,3))</f>
        <v/>
      </c>
      <c r="L272" s="11"/>
    </row>
    <row r="273" customFormat="false" ht="15" hidden="false" customHeight="false" outlineLevel="0" collapsed="false">
      <c r="A273" s="10"/>
      <c r="B273" s="11"/>
      <c r="C273" s="11"/>
      <c r="D273" s="11"/>
      <c r="E273" s="11"/>
      <c r="F273" s="11"/>
      <c r="G273" s="11"/>
      <c r="H273" s="15" t="str">
        <f aca="false">IF(OR(D273="",F273=""),"",IF(F273&lt;=1,D273,D273*(1+F273/30)))</f>
        <v/>
      </c>
      <c r="I273" s="15" t="str">
        <f aca="false">IF(OR(D273="",F273="",G273=""),"",IF(F273+MAX(0,10-G273)&lt;=1,D273,D273*(1+(F273+MAX(0,10-G273))/30)))</f>
        <v/>
      </c>
      <c r="J273" s="16" t="str">
        <f aca="false">IF(A273="","",IF(AND(C273="yes",N(G273)&gt;=7),N(E273),0))</f>
        <v/>
      </c>
      <c r="K273" s="17" t="str">
        <f aca="false">IF(A273="","",A273-WEEKDAY(A273,3))</f>
        <v/>
      </c>
      <c r="L273" s="11"/>
    </row>
    <row r="274" customFormat="false" ht="15" hidden="false" customHeight="false" outlineLevel="0" collapsed="false">
      <c r="A274" s="10"/>
      <c r="B274" s="11"/>
      <c r="C274" s="11"/>
      <c r="D274" s="11"/>
      <c r="E274" s="11"/>
      <c r="F274" s="11"/>
      <c r="G274" s="11"/>
      <c r="H274" s="15" t="str">
        <f aca="false">IF(OR(D274="",F274=""),"",IF(F274&lt;=1,D274,D274*(1+F274/30)))</f>
        <v/>
      </c>
      <c r="I274" s="15" t="str">
        <f aca="false">IF(OR(D274="",F274="",G274=""),"",IF(F274+MAX(0,10-G274)&lt;=1,D274,D274*(1+(F274+MAX(0,10-G274))/30)))</f>
        <v/>
      </c>
      <c r="J274" s="16" t="str">
        <f aca="false">IF(A274="","",IF(AND(C274="yes",N(G274)&gt;=7),N(E274),0))</f>
        <v/>
      </c>
      <c r="K274" s="17" t="str">
        <f aca="false">IF(A274="","",A274-WEEKDAY(A274,3))</f>
        <v/>
      </c>
      <c r="L274" s="11"/>
    </row>
    <row r="275" customFormat="false" ht="15" hidden="false" customHeight="false" outlineLevel="0" collapsed="false">
      <c r="A275" s="10"/>
      <c r="B275" s="11"/>
      <c r="C275" s="11"/>
      <c r="D275" s="11"/>
      <c r="E275" s="11"/>
      <c r="F275" s="11"/>
      <c r="G275" s="11"/>
      <c r="H275" s="15" t="str">
        <f aca="false">IF(OR(D275="",F275=""),"",IF(F275&lt;=1,D275,D275*(1+F275/30)))</f>
        <v/>
      </c>
      <c r="I275" s="15" t="str">
        <f aca="false">IF(OR(D275="",F275="",G275=""),"",IF(F275+MAX(0,10-G275)&lt;=1,D275,D275*(1+(F275+MAX(0,10-G275))/30)))</f>
        <v/>
      </c>
      <c r="J275" s="16" t="str">
        <f aca="false">IF(A275="","",IF(AND(C275="yes",N(G275)&gt;=7),N(E275),0))</f>
        <v/>
      </c>
      <c r="K275" s="17" t="str">
        <f aca="false">IF(A275="","",A275-WEEKDAY(A275,3))</f>
        <v/>
      </c>
      <c r="L275" s="11"/>
    </row>
    <row r="276" customFormat="false" ht="15" hidden="false" customHeight="false" outlineLevel="0" collapsed="false">
      <c r="A276" s="10"/>
      <c r="B276" s="11"/>
      <c r="C276" s="11"/>
      <c r="D276" s="11"/>
      <c r="E276" s="11"/>
      <c r="F276" s="11"/>
      <c r="G276" s="11"/>
      <c r="H276" s="15" t="str">
        <f aca="false">IF(OR(D276="",F276=""),"",IF(F276&lt;=1,D276,D276*(1+F276/30)))</f>
        <v/>
      </c>
      <c r="I276" s="15" t="str">
        <f aca="false">IF(OR(D276="",F276="",G276=""),"",IF(F276+MAX(0,10-G276)&lt;=1,D276,D276*(1+(F276+MAX(0,10-G276))/30)))</f>
        <v/>
      </c>
      <c r="J276" s="16" t="str">
        <f aca="false">IF(A276="","",IF(AND(C276="yes",N(G276)&gt;=7),N(E276),0))</f>
        <v/>
      </c>
      <c r="K276" s="17" t="str">
        <f aca="false">IF(A276="","",A276-WEEKDAY(A276,3))</f>
        <v/>
      </c>
      <c r="L276" s="11"/>
    </row>
    <row r="277" customFormat="false" ht="15" hidden="false" customHeight="false" outlineLevel="0" collapsed="false">
      <c r="A277" s="10"/>
      <c r="B277" s="11"/>
      <c r="C277" s="11"/>
      <c r="D277" s="11"/>
      <c r="E277" s="11"/>
      <c r="F277" s="11"/>
      <c r="G277" s="11"/>
      <c r="H277" s="15" t="str">
        <f aca="false">IF(OR(D277="",F277=""),"",IF(F277&lt;=1,D277,D277*(1+F277/30)))</f>
        <v/>
      </c>
      <c r="I277" s="15" t="str">
        <f aca="false">IF(OR(D277="",F277="",G277=""),"",IF(F277+MAX(0,10-G277)&lt;=1,D277,D277*(1+(F277+MAX(0,10-G277))/30)))</f>
        <v/>
      </c>
      <c r="J277" s="16" t="str">
        <f aca="false">IF(A277="","",IF(AND(C277="yes",N(G277)&gt;=7),N(E277),0))</f>
        <v/>
      </c>
      <c r="K277" s="17" t="str">
        <f aca="false">IF(A277="","",A277-WEEKDAY(A277,3))</f>
        <v/>
      </c>
      <c r="L277" s="11"/>
    </row>
    <row r="278" customFormat="false" ht="15" hidden="false" customHeight="false" outlineLevel="0" collapsed="false">
      <c r="A278" s="10"/>
      <c r="B278" s="11"/>
      <c r="C278" s="11"/>
      <c r="D278" s="11"/>
      <c r="E278" s="11"/>
      <c r="F278" s="11"/>
      <c r="G278" s="11"/>
      <c r="H278" s="15" t="str">
        <f aca="false">IF(OR(D278="",F278=""),"",IF(F278&lt;=1,D278,D278*(1+F278/30)))</f>
        <v/>
      </c>
      <c r="I278" s="15" t="str">
        <f aca="false">IF(OR(D278="",F278="",G278=""),"",IF(F278+MAX(0,10-G278)&lt;=1,D278,D278*(1+(F278+MAX(0,10-G278))/30)))</f>
        <v/>
      </c>
      <c r="J278" s="16" t="str">
        <f aca="false">IF(A278="","",IF(AND(C278="yes",N(G278)&gt;=7),N(E278),0))</f>
        <v/>
      </c>
      <c r="K278" s="17" t="str">
        <f aca="false">IF(A278="","",A278-WEEKDAY(A278,3))</f>
        <v/>
      </c>
      <c r="L278" s="11"/>
    </row>
    <row r="279" customFormat="false" ht="15" hidden="false" customHeight="false" outlineLevel="0" collapsed="false">
      <c r="A279" s="10"/>
      <c r="B279" s="11"/>
      <c r="C279" s="11"/>
      <c r="D279" s="11"/>
      <c r="E279" s="11"/>
      <c r="F279" s="11"/>
      <c r="G279" s="11"/>
      <c r="H279" s="15" t="str">
        <f aca="false">IF(OR(D279="",F279=""),"",IF(F279&lt;=1,D279,D279*(1+F279/30)))</f>
        <v/>
      </c>
      <c r="I279" s="15" t="str">
        <f aca="false">IF(OR(D279="",F279="",G279=""),"",IF(F279+MAX(0,10-G279)&lt;=1,D279,D279*(1+(F279+MAX(0,10-G279))/30)))</f>
        <v/>
      </c>
      <c r="J279" s="16" t="str">
        <f aca="false">IF(A279="","",IF(AND(C279="yes",N(G279)&gt;=7),N(E279),0))</f>
        <v/>
      </c>
      <c r="K279" s="17" t="str">
        <f aca="false">IF(A279="","",A279-WEEKDAY(A279,3))</f>
        <v/>
      </c>
      <c r="L279" s="11"/>
    </row>
    <row r="280" customFormat="false" ht="15" hidden="false" customHeight="false" outlineLevel="0" collapsed="false">
      <c r="A280" s="10"/>
      <c r="B280" s="11"/>
      <c r="C280" s="11"/>
      <c r="D280" s="11"/>
      <c r="E280" s="11"/>
      <c r="F280" s="11"/>
      <c r="G280" s="11"/>
      <c r="H280" s="15" t="str">
        <f aca="false">IF(OR(D280="",F280=""),"",IF(F280&lt;=1,D280,D280*(1+F280/30)))</f>
        <v/>
      </c>
      <c r="I280" s="15" t="str">
        <f aca="false">IF(OR(D280="",F280="",G280=""),"",IF(F280+MAX(0,10-G280)&lt;=1,D280,D280*(1+(F280+MAX(0,10-G280))/30)))</f>
        <v/>
      </c>
      <c r="J280" s="16" t="str">
        <f aca="false">IF(A280="","",IF(AND(C280="yes",N(G280)&gt;=7),N(E280),0))</f>
        <v/>
      </c>
      <c r="K280" s="17" t="str">
        <f aca="false">IF(A280="","",A280-WEEKDAY(A280,3))</f>
        <v/>
      </c>
      <c r="L280" s="11"/>
    </row>
    <row r="281" customFormat="false" ht="15" hidden="false" customHeight="false" outlineLevel="0" collapsed="false">
      <c r="A281" s="10"/>
      <c r="B281" s="11"/>
      <c r="C281" s="11"/>
      <c r="D281" s="11"/>
      <c r="E281" s="11"/>
      <c r="F281" s="11"/>
      <c r="G281" s="11"/>
      <c r="H281" s="15" t="str">
        <f aca="false">IF(OR(D281="",F281=""),"",IF(F281&lt;=1,D281,D281*(1+F281/30)))</f>
        <v/>
      </c>
      <c r="I281" s="15" t="str">
        <f aca="false">IF(OR(D281="",F281="",G281=""),"",IF(F281+MAX(0,10-G281)&lt;=1,D281,D281*(1+(F281+MAX(0,10-G281))/30)))</f>
        <v/>
      </c>
      <c r="J281" s="16" t="str">
        <f aca="false">IF(A281="","",IF(AND(C281="yes",N(G281)&gt;=7),N(E281),0))</f>
        <v/>
      </c>
      <c r="K281" s="17" t="str">
        <f aca="false">IF(A281="","",A281-WEEKDAY(A281,3))</f>
        <v/>
      </c>
      <c r="L281" s="11"/>
    </row>
    <row r="282" customFormat="false" ht="15" hidden="false" customHeight="false" outlineLevel="0" collapsed="false">
      <c r="A282" s="10"/>
      <c r="B282" s="11"/>
      <c r="C282" s="11"/>
      <c r="D282" s="11"/>
      <c r="E282" s="11"/>
      <c r="F282" s="11"/>
      <c r="G282" s="11"/>
      <c r="H282" s="15" t="str">
        <f aca="false">IF(OR(D282="",F282=""),"",IF(F282&lt;=1,D282,D282*(1+F282/30)))</f>
        <v/>
      </c>
      <c r="I282" s="15" t="str">
        <f aca="false">IF(OR(D282="",F282="",G282=""),"",IF(F282+MAX(0,10-G282)&lt;=1,D282,D282*(1+(F282+MAX(0,10-G282))/30)))</f>
        <v/>
      </c>
      <c r="J282" s="16" t="str">
        <f aca="false">IF(A282="","",IF(AND(C282="yes",N(G282)&gt;=7),N(E282),0))</f>
        <v/>
      </c>
      <c r="K282" s="17" t="str">
        <f aca="false">IF(A282="","",A282-WEEKDAY(A282,3))</f>
        <v/>
      </c>
      <c r="L282" s="11"/>
    </row>
    <row r="283" customFormat="false" ht="15" hidden="false" customHeight="false" outlineLevel="0" collapsed="false">
      <c r="A283" s="10"/>
      <c r="B283" s="11"/>
      <c r="C283" s="11"/>
      <c r="D283" s="11"/>
      <c r="E283" s="11"/>
      <c r="F283" s="11"/>
      <c r="G283" s="11"/>
      <c r="H283" s="15" t="str">
        <f aca="false">IF(OR(D283="",F283=""),"",IF(F283&lt;=1,D283,D283*(1+F283/30)))</f>
        <v/>
      </c>
      <c r="I283" s="15" t="str">
        <f aca="false">IF(OR(D283="",F283="",G283=""),"",IF(F283+MAX(0,10-G283)&lt;=1,D283,D283*(1+(F283+MAX(0,10-G283))/30)))</f>
        <v/>
      </c>
      <c r="J283" s="16" t="str">
        <f aca="false">IF(A283="","",IF(AND(C283="yes",N(G283)&gt;=7),N(E283),0))</f>
        <v/>
      </c>
      <c r="K283" s="17" t="str">
        <f aca="false">IF(A283="","",A283-WEEKDAY(A283,3))</f>
        <v/>
      </c>
      <c r="L283" s="11"/>
    </row>
    <row r="284" customFormat="false" ht="15" hidden="false" customHeight="false" outlineLevel="0" collapsed="false">
      <c r="A284" s="10"/>
      <c r="B284" s="11"/>
      <c r="C284" s="11"/>
      <c r="D284" s="11"/>
      <c r="E284" s="11"/>
      <c r="F284" s="11"/>
      <c r="G284" s="11"/>
      <c r="H284" s="15" t="str">
        <f aca="false">IF(OR(D284="",F284=""),"",IF(F284&lt;=1,D284,D284*(1+F284/30)))</f>
        <v/>
      </c>
      <c r="I284" s="15" t="str">
        <f aca="false">IF(OR(D284="",F284="",G284=""),"",IF(F284+MAX(0,10-G284)&lt;=1,D284,D284*(1+(F284+MAX(0,10-G284))/30)))</f>
        <v/>
      </c>
      <c r="J284" s="16" t="str">
        <f aca="false">IF(A284="","",IF(AND(C284="yes",N(G284)&gt;=7),N(E284),0))</f>
        <v/>
      </c>
      <c r="K284" s="17" t="str">
        <f aca="false">IF(A284="","",A284-WEEKDAY(A284,3))</f>
        <v/>
      </c>
      <c r="L284" s="11"/>
    </row>
    <row r="285" customFormat="false" ht="15" hidden="false" customHeight="false" outlineLevel="0" collapsed="false">
      <c r="A285" s="10"/>
      <c r="B285" s="11"/>
      <c r="C285" s="11"/>
      <c r="D285" s="11"/>
      <c r="E285" s="11"/>
      <c r="F285" s="11"/>
      <c r="G285" s="11"/>
      <c r="H285" s="15" t="str">
        <f aca="false">IF(OR(D285="",F285=""),"",IF(F285&lt;=1,D285,D285*(1+F285/30)))</f>
        <v/>
      </c>
      <c r="I285" s="15" t="str">
        <f aca="false">IF(OR(D285="",F285="",G285=""),"",IF(F285+MAX(0,10-G285)&lt;=1,D285,D285*(1+(F285+MAX(0,10-G285))/30)))</f>
        <v/>
      </c>
      <c r="J285" s="16" t="str">
        <f aca="false">IF(A285="","",IF(AND(C285="yes",N(G285)&gt;=7),N(E285),0))</f>
        <v/>
      </c>
      <c r="K285" s="17" t="str">
        <f aca="false">IF(A285="","",A285-WEEKDAY(A285,3))</f>
        <v/>
      </c>
      <c r="L285" s="11"/>
    </row>
    <row r="286" customFormat="false" ht="15" hidden="false" customHeight="false" outlineLevel="0" collapsed="false">
      <c r="A286" s="10"/>
      <c r="B286" s="11"/>
      <c r="C286" s="11"/>
      <c r="D286" s="11"/>
      <c r="E286" s="11"/>
      <c r="F286" s="11"/>
      <c r="G286" s="11"/>
      <c r="H286" s="15" t="str">
        <f aca="false">IF(OR(D286="",F286=""),"",IF(F286&lt;=1,D286,D286*(1+F286/30)))</f>
        <v/>
      </c>
      <c r="I286" s="15" t="str">
        <f aca="false">IF(OR(D286="",F286="",G286=""),"",IF(F286+MAX(0,10-G286)&lt;=1,D286,D286*(1+(F286+MAX(0,10-G286))/30)))</f>
        <v/>
      </c>
      <c r="J286" s="16" t="str">
        <f aca="false">IF(A286="","",IF(AND(C286="yes",N(G286)&gt;=7),N(E286),0))</f>
        <v/>
      </c>
      <c r="K286" s="17" t="str">
        <f aca="false">IF(A286="","",A286-WEEKDAY(A286,3))</f>
        <v/>
      </c>
      <c r="L286" s="11"/>
    </row>
    <row r="287" customFormat="false" ht="15" hidden="false" customHeight="false" outlineLevel="0" collapsed="false">
      <c r="A287" s="10"/>
      <c r="B287" s="11"/>
      <c r="C287" s="11"/>
      <c r="D287" s="11"/>
      <c r="E287" s="11"/>
      <c r="F287" s="11"/>
      <c r="G287" s="11"/>
      <c r="H287" s="15" t="str">
        <f aca="false">IF(OR(D287="",F287=""),"",IF(F287&lt;=1,D287,D287*(1+F287/30)))</f>
        <v/>
      </c>
      <c r="I287" s="15" t="str">
        <f aca="false">IF(OR(D287="",F287="",G287=""),"",IF(F287+MAX(0,10-G287)&lt;=1,D287,D287*(1+(F287+MAX(0,10-G287))/30)))</f>
        <v/>
      </c>
      <c r="J287" s="16" t="str">
        <f aca="false">IF(A287="","",IF(AND(C287="yes",N(G287)&gt;=7),N(E287),0))</f>
        <v/>
      </c>
      <c r="K287" s="17" t="str">
        <f aca="false">IF(A287="","",A287-WEEKDAY(A287,3))</f>
        <v/>
      </c>
      <c r="L287" s="11"/>
    </row>
    <row r="288" customFormat="false" ht="15" hidden="false" customHeight="false" outlineLevel="0" collapsed="false">
      <c r="A288" s="10"/>
      <c r="B288" s="11"/>
      <c r="C288" s="11"/>
      <c r="D288" s="11"/>
      <c r="E288" s="11"/>
      <c r="F288" s="11"/>
      <c r="G288" s="11"/>
      <c r="H288" s="15" t="str">
        <f aca="false">IF(OR(D288="",F288=""),"",IF(F288&lt;=1,D288,D288*(1+F288/30)))</f>
        <v/>
      </c>
      <c r="I288" s="15" t="str">
        <f aca="false">IF(OR(D288="",F288="",G288=""),"",IF(F288+MAX(0,10-G288)&lt;=1,D288,D288*(1+(F288+MAX(0,10-G288))/30)))</f>
        <v/>
      </c>
      <c r="J288" s="16" t="str">
        <f aca="false">IF(A288="","",IF(AND(C288="yes",N(G288)&gt;=7),N(E288),0))</f>
        <v/>
      </c>
      <c r="K288" s="17" t="str">
        <f aca="false">IF(A288="","",A288-WEEKDAY(A288,3))</f>
        <v/>
      </c>
      <c r="L288" s="11"/>
    </row>
    <row r="289" customFormat="false" ht="15" hidden="false" customHeight="false" outlineLevel="0" collapsed="false">
      <c r="A289" s="10"/>
      <c r="B289" s="11"/>
      <c r="C289" s="11"/>
      <c r="D289" s="11"/>
      <c r="E289" s="11"/>
      <c r="F289" s="11"/>
      <c r="G289" s="11"/>
      <c r="H289" s="15" t="str">
        <f aca="false">IF(OR(D289="",F289=""),"",IF(F289&lt;=1,D289,D289*(1+F289/30)))</f>
        <v/>
      </c>
      <c r="I289" s="15" t="str">
        <f aca="false">IF(OR(D289="",F289="",G289=""),"",IF(F289+MAX(0,10-G289)&lt;=1,D289,D289*(1+(F289+MAX(0,10-G289))/30)))</f>
        <v/>
      </c>
      <c r="J289" s="16" t="str">
        <f aca="false">IF(A289="","",IF(AND(C289="yes",N(G289)&gt;=7),N(E289),0))</f>
        <v/>
      </c>
      <c r="K289" s="17" t="str">
        <f aca="false">IF(A289="","",A289-WEEKDAY(A289,3))</f>
        <v/>
      </c>
      <c r="L289" s="11"/>
    </row>
    <row r="290" customFormat="false" ht="15" hidden="false" customHeight="false" outlineLevel="0" collapsed="false">
      <c r="A290" s="10"/>
      <c r="B290" s="11"/>
      <c r="C290" s="11"/>
      <c r="D290" s="11"/>
      <c r="E290" s="11"/>
      <c r="F290" s="11"/>
      <c r="G290" s="11"/>
      <c r="H290" s="15" t="str">
        <f aca="false">IF(OR(D290="",F290=""),"",IF(F290&lt;=1,D290,D290*(1+F290/30)))</f>
        <v/>
      </c>
      <c r="I290" s="15" t="str">
        <f aca="false">IF(OR(D290="",F290="",G290=""),"",IF(F290+MAX(0,10-G290)&lt;=1,D290,D290*(1+(F290+MAX(0,10-G290))/30)))</f>
        <v/>
      </c>
      <c r="J290" s="16" t="str">
        <f aca="false">IF(A290="","",IF(AND(C290="yes",N(G290)&gt;=7),N(E290),0))</f>
        <v/>
      </c>
      <c r="K290" s="17" t="str">
        <f aca="false">IF(A290="","",A290-WEEKDAY(A290,3))</f>
        <v/>
      </c>
      <c r="L290" s="11"/>
    </row>
    <row r="291" customFormat="false" ht="15" hidden="false" customHeight="false" outlineLevel="0" collapsed="false">
      <c r="A291" s="10"/>
      <c r="B291" s="11"/>
      <c r="C291" s="11"/>
      <c r="D291" s="11"/>
      <c r="E291" s="11"/>
      <c r="F291" s="11"/>
      <c r="G291" s="11"/>
      <c r="H291" s="15" t="str">
        <f aca="false">IF(OR(D291="",F291=""),"",IF(F291&lt;=1,D291,D291*(1+F291/30)))</f>
        <v/>
      </c>
      <c r="I291" s="15" t="str">
        <f aca="false">IF(OR(D291="",F291="",G291=""),"",IF(F291+MAX(0,10-G291)&lt;=1,D291,D291*(1+(F291+MAX(0,10-G291))/30)))</f>
        <v/>
      </c>
      <c r="J291" s="16" t="str">
        <f aca="false">IF(A291="","",IF(AND(C291="yes",N(G291)&gt;=7),N(E291),0))</f>
        <v/>
      </c>
      <c r="K291" s="17" t="str">
        <f aca="false">IF(A291="","",A291-WEEKDAY(A291,3))</f>
        <v/>
      </c>
      <c r="L291" s="11"/>
    </row>
    <row r="292" customFormat="false" ht="15" hidden="false" customHeight="false" outlineLevel="0" collapsed="false">
      <c r="A292" s="10"/>
      <c r="B292" s="11"/>
      <c r="C292" s="11"/>
      <c r="D292" s="11"/>
      <c r="E292" s="11"/>
      <c r="F292" s="11"/>
      <c r="G292" s="11"/>
      <c r="H292" s="15" t="str">
        <f aca="false">IF(OR(D292="",F292=""),"",IF(F292&lt;=1,D292,D292*(1+F292/30)))</f>
        <v/>
      </c>
      <c r="I292" s="15" t="str">
        <f aca="false">IF(OR(D292="",F292="",G292=""),"",IF(F292+MAX(0,10-G292)&lt;=1,D292,D292*(1+(F292+MAX(0,10-G292))/30)))</f>
        <v/>
      </c>
      <c r="J292" s="16" t="str">
        <f aca="false">IF(A292="","",IF(AND(C292="yes",N(G292)&gt;=7),N(E292),0))</f>
        <v/>
      </c>
      <c r="K292" s="17" t="str">
        <f aca="false">IF(A292="","",A292-WEEKDAY(A292,3))</f>
        <v/>
      </c>
      <c r="L292" s="11"/>
    </row>
    <row r="293" customFormat="false" ht="15" hidden="false" customHeight="false" outlineLevel="0" collapsed="false">
      <c r="A293" s="10"/>
      <c r="B293" s="11"/>
      <c r="C293" s="11"/>
      <c r="D293" s="11"/>
      <c r="E293" s="11"/>
      <c r="F293" s="11"/>
      <c r="G293" s="11"/>
      <c r="H293" s="15" t="str">
        <f aca="false">IF(OR(D293="",F293=""),"",IF(F293&lt;=1,D293,D293*(1+F293/30)))</f>
        <v/>
      </c>
      <c r="I293" s="15" t="str">
        <f aca="false">IF(OR(D293="",F293="",G293=""),"",IF(F293+MAX(0,10-G293)&lt;=1,D293,D293*(1+(F293+MAX(0,10-G293))/30)))</f>
        <v/>
      </c>
      <c r="J293" s="16" t="str">
        <f aca="false">IF(A293="","",IF(AND(C293="yes",N(G293)&gt;=7),N(E293),0))</f>
        <v/>
      </c>
      <c r="K293" s="17" t="str">
        <f aca="false">IF(A293="","",A293-WEEKDAY(A293,3))</f>
        <v/>
      </c>
      <c r="L293" s="11"/>
    </row>
    <row r="294" customFormat="false" ht="15" hidden="false" customHeight="false" outlineLevel="0" collapsed="false">
      <c r="A294" s="10"/>
      <c r="B294" s="11"/>
      <c r="C294" s="11"/>
      <c r="D294" s="11"/>
      <c r="E294" s="11"/>
      <c r="F294" s="11"/>
      <c r="G294" s="11"/>
      <c r="H294" s="15" t="str">
        <f aca="false">IF(OR(D294="",F294=""),"",IF(F294&lt;=1,D294,D294*(1+F294/30)))</f>
        <v/>
      </c>
      <c r="I294" s="15" t="str">
        <f aca="false">IF(OR(D294="",F294="",G294=""),"",IF(F294+MAX(0,10-G294)&lt;=1,D294,D294*(1+(F294+MAX(0,10-G294))/30)))</f>
        <v/>
      </c>
      <c r="J294" s="16" t="str">
        <f aca="false">IF(A294="","",IF(AND(C294="yes",N(G294)&gt;=7),N(E294),0))</f>
        <v/>
      </c>
      <c r="K294" s="17" t="str">
        <f aca="false">IF(A294="","",A294-WEEKDAY(A294,3))</f>
        <v/>
      </c>
      <c r="L294" s="11"/>
    </row>
    <row r="295" customFormat="false" ht="15" hidden="false" customHeight="false" outlineLevel="0" collapsed="false">
      <c r="A295" s="10"/>
      <c r="B295" s="11"/>
      <c r="C295" s="11"/>
      <c r="D295" s="11"/>
      <c r="E295" s="11"/>
      <c r="F295" s="11"/>
      <c r="G295" s="11"/>
      <c r="H295" s="15" t="str">
        <f aca="false">IF(OR(D295="",F295=""),"",IF(F295&lt;=1,D295,D295*(1+F295/30)))</f>
        <v/>
      </c>
      <c r="I295" s="15" t="str">
        <f aca="false">IF(OR(D295="",F295="",G295=""),"",IF(F295+MAX(0,10-G295)&lt;=1,D295,D295*(1+(F295+MAX(0,10-G295))/30)))</f>
        <v/>
      </c>
      <c r="J295" s="16" t="str">
        <f aca="false">IF(A295="","",IF(AND(C295="yes",N(G295)&gt;=7),N(E295),0))</f>
        <v/>
      </c>
      <c r="K295" s="17" t="str">
        <f aca="false">IF(A295="","",A295-WEEKDAY(A295,3))</f>
        <v/>
      </c>
      <c r="L295" s="11"/>
    </row>
    <row r="296" customFormat="false" ht="15" hidden="false" customHeight="false" outlineLevel="0" collapsed="false">
      <c r="A296" s="10"/>
      <c r="B296" s="11"/>
      <c r="C296" s="11"/>
      <c r="D296" s="11"/>
      <c r="E296" s="11"/>
      <c r="F296" s="11"/>
      <c r="G296" s="11"/>
      <c r="H296" s="15" t="str">
        <f aca="false">IF(OR(D296="",F296=""),"",IF(F296&lt;=1,D296,D296*(1+F296/30)))</f>
        <v/>
      </c>
      <c r="I296" s="15" t="str">
        <f aca="false">IF(OR(D296="",F296="",G296=""),"",IF(F296+MAX(0,10-G296)&lt;=1,D296,D296*(1+(F296+MAX(0,10-G296))/30)))</f>
        <v/>
      </c>
      <c r="J296" s="16" t="str">
        <f aca="false">IF(A296="","",IF(AND(C296="yes",N(G296)&gt;=7),N(E296),0))</f>
        <v/>
      </c>
      <c r="K296" s="17" t="str">
        <f aca="false">IF(A296="","",A296-WEEKDAY(A296,3))</f>
        <v/>
      </c>
      <c r="L296" s="11"/>
    </row>
    <row r="297" customFormat="false" ht="15" hidden="false" customHeight="false" outlineLevel="0" collapsed="false">
      <c r="A297" s="10"/>
      <c r="B297" s="11"/>
      <c r="C297" s="11"/>
      <c r="D297" s="11"/>
      <c r="E297" s="11"/>
      <c r="F297" s="11"/>
      <c r="G297" s="11"/>
      <c r="H297" s="15" t="str">
        <f aca="false">IF(OR(D297="",F297=""),"",IF(F297&lt;=1,D297,D297*(1+F297/30)))</f>
        <v/>
      </c>
      <c r="I297" s="15" t="str">
        <f aca="false">IF(OR(D297="",F297="",G297=""),"",IF(F297+MAX(0,10-G297)&lt;=1,D297,D297*(1+(F297+MAX(0,10-G297))/30)))</f>
        <v/>
      </c>
      <c r="J297" s="16" t="str">
        <f aca="false">IF(A297="","",IF(AND(C297="yes",N(G297)&gt;=7),N(E297),0))</f>
        <v/>
      </c>
      <c r="K297" s="17" t="str">
        <f aca="false">IF(A297="","",A297-WEEKDAY(A297,3))</f>
        <v/>
      </c>
      <c r="L297" s="11"/>
    </row>
    <row r="298" customFormat="false" ht="15" hidden="false" customHeight="false" outlineLevel="0" collapsed="false">
      <c r="A298" s="10"/>
      <c r="B298" s="11"/>
      <c r="C298" s="11"/>
      <c r="D298" s="11"/>
      <c r="E298" s="11"/>
      <c r="F298" s="11"/>
      <c r="G298" s="11"/>
      <c r="H298" s="15" t="str">
        <f aca="false">IF(OR(D298="",F298=""),"",IF(F298&lt;=1,D298,D298*(1+F298/30)))</f>
        <v/>
      </c>
      <c r="I298" s="15" t="str">
        <f aca="false">IF(OR(D298="",F298="",G298=""),"",IF(F298+MAX(0,10-G298)&lt;=1,D298,D298*(1+(F298+MAX(0,10-G298))/30)))</f>
        <v/>
      </c>
      <c r="J298" s="16" t="str">
        <f aca="false">IF(A298="","",IF(AND(C298="yes",N(G298)&gt;=7),N(E298),0))</f>
        <v/>
      </c>
      <c r="K298" s="17" t="str">
        <f aca="false">IF(A298="","",A298-WEEKDAY(A298,3))</f>
        <v/>
      </c>
      <c r="L298" s="11"/>
    </row>
    <row r="299" customFormat="false" ht="15" hidden="false" customHeight="false" outlineLevel="0" collapsed="false">
      <c r="A299" s="10"/>
      <c r="B299" s="11"/>
      <c r="C299" s="11"/>
      <c r="D299" s="11"/>
      <c r="E299" s="11"/>
      <c r="F299" s="11"/>
      <c r="G299" s="11"/>
      <c r="H299" s="15" t="str">
        <f aca="false">IF(OR(D299="",F299=""),"",IF(F299&lt;=1,D299,D299*(1+F299/30)))</f>
        <v/>
      </c>
      <c r="I299" s="15" t="str">
        <f aca="false">IF(OR(D299="",F299="",G299=""),"",IF(F299+MAX(0,10-G299)&lt;=1,D299,D299*(1+(F299+MAX(0,10-G299))/30)))</f>
        <v/>
      </c>
      <c r="J299" s="16" t="str">
        <f aca="false">IF(A299="","",IF(AND(C299="yes",N(G299)&gt;=7),N(E299),0))</f>
        <v/>
      </c>
      <c r="K299" s="17" t="str">
        <f aca="false">IF(A299="","",A299-WEEKDAY(A299,3))</f>
        <v/>
      </c>
      <c r="L299" s="11"/>
    </row>
    <row r="300" customFormat="false" ht="15" hidden="false" customHeight="false" outlineLevel="0" collapsed="false">
      <c r="A300" s="10"/>
      <c r="B300" s="11"/>
      <c r="C300" s="11"/>
      <c r="D300" s="11"/>
      <c r="E300" s="11"/>
      <c r="F300" s="11"/>
      <c r="G300" s="11"/>
      <c r="H300" s="15" t="str">
        <f aca="false">IF(OR(D300="",F300=""),"",IF(F300&lt;=1,D300,D300*(1+F300/30)))</f>
        <v/>
      </c>
      <c r="I300" s="15" t="str">
        <f aca="false">IF(OR(D300="",F300="",G300=""),"",IF(F300+MAX(0,10-G300)&lt;=1,D300,D300*(1+(F300+MAX(0,10-G300))/30)))</f>
        <v/>
      </c>
      <c r="J300" s="16" t="str">
        <f aca="false">IF(A300="","",IF(AND(C300="yes",N(G300)&gt;=7),N(E300),0))</f>
        <v/>
      </c>
      <c r="K300" s="17" t="str">
        <f aca="false">IF(A300="","",A300-WEEKDAY(A300,3))</f>
        <v/>
      </c>
      <c r="L300" s="11"/>
    </row>
    <row r="301" customFormat="false" ht="15" hidden="false" customHeight="false" outlineLevel="0" collapsed="false">
      <c r="A301" s="10"/>
      <c r="B301" s="11"/>
      <c r="C301" s="11"/>
      <c r="D301" s="11"/>
      <c r="E301" s="11"/>
      <c r="F301" s="11"/>
      <c r="G301" s="11"/>
      <c r="H301" s="15" t="str">
        <f aca="false">IF(OR(D301="",F301=""),"",IF(F301&lt;=1,D301,D301*(1+F301/30)))</f>
        <v/>
      </c>
      <c r="I301" s="15" t="str">
        <f aca="false">IF(OR(D301="",F301="",G301=""),"",IF(F301+MAX(0,10-G301)&lt;=1,D301,D301*(1+(F301+MAX(0,10-G301))/30)))</f>
        <v/>
      </c>
      <c r="J301" s="16" t="str">
        <f aca="false">IF(A301="","",IF(AND(C301="yes",N(G301)&gt;=7),N(E301),0))</f>
        <v/>
      </c>
      <c r="K301" s="17" t="str">
        <f aca="false">IF(A301="","",A301-WEEKDAY(A301,3))</f>
        <v/>
      </c>
      <c r="L301" s="11"/>
    </row>
    <row r="302" customFormat="false" ht="15" hidden="false" customHeight="false" outlineLevel="0" collapsed="false">
      <c r="A302" s="10"/>
      <c r="B302" s="11"/>
      <c r="C302" s="11"/>
      <c r="D302" s="11"/>
      <c r="E302" s="11"/>
      <c r="F302" s="11"/>
      <c r="G302" s="11"/>
      <c r="H302" s="15" t="str">
        <f aca="false">IF(OR(D302="",F302=""),"",IF(F302&lt;=1,D302,D302*(1+F302/30)))</f>
        <v/>
      </c>
      <c r="I302" s="15" t="str">
        <f aca="false">IF(OR(D302="",F302="",G302=""),"",IF(F302+MAX(0,10-G302)&lt;=1,D302,D302*(1+(F302+MAX(0,10-G302))/30)))</f>
        <v/>
      </c>
      <c r="J302" s="16" t="str">
        <f aca="false">IF(A302="","",IF(AND(C302="yes",N(G302)&gt;=7),N(E302),0))</f>
        <v/>
      </c>
      <c r="K302" s="17" t="str">
        <f aca="false">IF(A302="","",A302-WEEKDAY(A302,3))</f>
        <v/>
      </c>
      <c r="L302" s="11"/>
    </row>
    <row r="303" customFormat="false" ht="15" hidden="false" customHeight="false" outlineLevel="0" collapsed="false">
      <c r="A303" s="10"/>
      <c r="B303" s="11"/>
      <c r="C303" s="11"/>
      <c r="D303" s="11"/>
      <c r="E303" s="11"/>
      <c r="F303" s="11"/>
      <c r="G303" s="11"/>
      <c r="H303" s="15" t="str">
        <f aca="false">IF(OR(D303="",F303=""),"",IF(F303&lt;=1,D303,D303*(1+F303/30)))</f>
        <v/>
      </c>
      <c r="I303" s="15" t="str">
        <f aca="false">IF(OR(D303="",F303="",G303=""),"",IF(F303+MAX(0,10-G303)&lt;=1,D303,D303*(1+(F303+MAX(0,10-G303))/30)))</f>
        <v/>
      </c>
      <c r="J303" s="16" t="str">
        <f aca="false">IF(A303="","",IF(AND(C303="yes",N(G303)&gt;=7),N(E303),0))</f>
        <v/>
      </c>
      <c r="K303" s="17" t="str">
        <f aca="false">IF(A303="","",A303-WEEKDAY(A303,3))</f>
        <v/>
      </c>
      <c r="L303" s="11"/>
    </row>
    <row r="304" customFormat="false" ht="15" hidden="false" customHeight="false" outlineLevel="0" collapsed="false">
      <c r="A304" s="10"/>
      <c r="B304" s="11"/>
      <c r="C304" s="11"/>
      <c r="D304" s="11"/>
      <c r="E304" s="11"/>
      <c r="F304" s="11"/>
      <c r="G304" s="11"/>
      <c r="H304" s="15" t="str">
        <f aca="false">IF(OR(D304="",F304=""),"",IF(F304&lt;=1,D304,D304*(1+F304/30)))</f>
        <v/>
      </c>
      <c r="I304" s="15" t="str">
        <f aca="false">IF(OR(D304="",F304="",G304=""),"",IF(F304+MAX(0,10-G304)&lt;=1,D304,D304*(1+(F304+MAX(0,10-G304))/30)))</f>
        <v/>
      </c>
      <c r="J304" s="16" t="str">
        <f aca="false">IF(A304="","",IF(AND(C304="yes",N(G304)&gt;=7),N(E304),0))</f>
        <v/>
      </c>
      <c r="K304" s="17" t="str">
        <f aca="false">IF(A304="","",A304-WEEKDAY(A304,3))</f>
        <v/>
      </c>
      <c r="L304" s="11"/>
    </row>
    <row r="305" customFormat="false" ht="15" hidden="false" customHeight="false" outlineLevel="0" collapsed="false">
      <c r="A305" s="10"/>
      <c r="B305" s="11"/>
      <c r="C305" s="11"/>
      <c r="D305" s="11"/>
      <c r="E305" s="11"/>
      <c r="F305" s="11"/>
      <c r="G305" s="11"/>
      <c r="H305" s="15" t="str">
        <f aca="false">IF(OR(D305="",F305=""),"",IF(F305&lt;=1,D305,D305*(1+F305/30)))</f>
        <v/>
      </c>
      <c r="I305" s="15" t="str">
        <f aca="false">IF(OR(D305="",F305="",G305=""),"",IF(F305+MAX(0,10-G305)&lt;=1,D305,D305*(1+(F305+MAX(0,10-G305))/30)))</f>
        <v/>
      </c>
      <c r="J305" s="16" t="str">
        <f aca="false">IF(A305="","",IF(AND(C305="yes",N(G305)&gt;=7),N(E305),0))</f>
        <v/>
      </c>
      <c r="K305" s="17" t="str">
        <f aca="false">IF(A305="","",A305-WEEKDAY(A305,3))</f>
        <v/>
      </c>
      <c r="L305" s="11"/>
    </row>
    <row r="306" customFormat="false" ht="15" hidden="false" customHeight="false" outlineLevel="0" collapsed="false">
      <c r="A306" s="10"/>
      <c r="B306" s="11"/>
      <c r="C306" s="11"/>
      <c r="D306" s="11"/>
      <c r="E306" s="11"/>
      <c r="F306" s="11"/>
      <c r="G306" s="11"/>
      <c r="H306" s="15" t="str">
        <f aca="false">IF(OR(D306="",F306=""),"",IF(F306&lt;=1,D306,D306*(1+F306/30)))</f>
        <v/>
      </c>
      <c r="I306" s="15" t="str">
        <f aca="false">IF(OR(D306="",F306="",G306=""),"",IF(F306+MAX(0,10-G306)&lt;=1,D306,D306*(1+(F306+MAX(0,10-G306))/30)))</f>
        <v/>
      </c>
      <c r="J306" s="16" t="str">
        <f aca="false">IF(A306="","",IF(AND(C306="yes",N(G306)&gt;=7),N(E306),0))</f>
        <v/>
      </c>
      <c r="K306" s="17" t="str">
        <f aca="false">IF(A306="","",A306-WEEKDAY(A306,3))</f>
        <v/>
      </c>
      <c r="L306" s="11"/>
    </row>
    <row r="307" customFormat="false" ht="15" hidden="false" customHeight="false" outlineLevel="0" collapsed="false">
      <c r="A307" s="10"/>
      <c r="B307" s="11"/>
      <c r="C307" s="11"/>
      <c r="D307" s="11"/>
      <c r="E307" s="11"/>
      <c r="F307" s="11"/>
      <c r="G307" s="11"/>
      <c r="H307" s="15" t="str">
        <f aca="false">IF(OR(D307="",F307=""),"",IF(F307&lt;=1,D307,D307*(1+F307/30)))</f>
        <v/>
      </c>
      <c r="I307" s="15" t="str">
        <f aca="false">IF(OR(D307="",F307="",G307=""),"",IF(F307+MAX(0,10-G307)&lt;=1,D307,D307*(1+(F307+MAX(0,10-G307))/30)))</f>
        <v/>
      </c>
      <c r="J307" s="16" t="str">
        <f aca="false">IF(A307="","",IF(AND(C307="yes",N(G307)&gt;=7),N(E307),0))</f>
        <v/>
      </c>
      <c r="K307" s="17" t="str">
        <f aca="false">IF(A307="","",A307-WEEKDAY(A307,3))</f>
        <v/>
      </c>
      <c r="L307" s="11"/>
    </row>
    <row r="308" customFormat="false" ht="15" hidden="false" customHeight="false" outlineLevel="0" collapsed="false">
      <c r="A308" s="10"/>
      <c r="B308" s="11"/>
      <c r="C308" s="11"/>
      <c r="D308" s="11"/>
      <c r="E308" s="11"/>
      <c r="F308" s="11"/>
      <c r="G308" s="11"/>
      <c r="H308" s="15" t="str">
        <f aca="false">IF(OR(D308="",F308=""),"",IF(F308&lt;=1,D308,D308*(1+F308/30)))</f>
        <v/>
      </c>
      <c r="I308" s="15" t="str">
        <f aca="false">IF(OR(D308="",F308="",G308=""),"",IF(F308+MAX(0,10-G308)&lt;=1,D308,D308*(1+(F308+MAX(0,10-G308))/30)))</f>
        <v/>
      </c>
      <c r="J308" s="16" t="str">
        <f aca="false">IF(A308="","",IF(AND(C308="yes",N(G308)&gt;=7),N(E308),0))</f>
        <v/>
      </c>
      <c r="K308" s="17" t="str">
        <f aca="false">IF(A308="","",A308-WEEKDAY(A308,3))</f>
        <v/>
      </c>
      <c r="L308" s="11"/>
    </row>
    <row r="309" customFormat="false" ht="15" hidden="false" customHeight="false" outlineLevel="0" collapsed="false">
      <c r="A309" s="10"/>
      <c r="B309" s="11"/>
      <c r="C309" s="11"/>
      <c r="D309" s="11"/>
      <c r="E309" s="11"/>
      <c r="F309" s="11"/>
      <c r="G309" s="11"/>
      <c r="H309" s="15" t="str">
        <f aca="false">IF(OR(D309="",F309=""),"",IF(F309&lt;=1,D309,D309*(1+F309/30)))</f>
        <v/>
      </c>
      <c r="I309" s="15" t="str">
        <f aca="false">IF(OR(D309="",F309="",G309=""),"",IF(F309+MAX(0,10-G309)&lt;=1,D309,D309*(1+(F309+MAX(0,10-G309))/30)))</f>
        <v/>
      </c>
      <c r="J309" s="16" t="str">
        <f aca="false">IF(A309="","",IF(AND(C309="yes",N(G309)&gt;=7),N(E309),0))</f>
        <v/>
      </c>
      <c r="K309" s="17" t="str">
        <f aca="false">IF(A309="","",A309-WEEKDAY(A309,3))</f>
        <v/>
      </c>
      <c r="L309" s="11"/>
    </row>
    <row r="310" customFormat="false" ht="15" hidden="false" customHeight="false" outlineLevel="0" collapsed="false">
      <c r="A310" s="10"/>
      <c r="B310" s="11"/>
      <c r="C310" s="11"/>
      <c r="D310" s="11"/>
      <c r="E310" s="11"/>
      <c r="F310" s="11"/>
      <c r="G310" s="11"/>
      <c r="H310" s="15" t="str">
        <f aca="false">IF(OR(D310="",F310=""),"",IF(F310&lt;=1,D310,D310*(1+F310/30)))</f>
        <v/>
      </c>
      <c r="I310" s="15" t="str">
        <f aca="false">IF(OR(D310="",F310="",G310=""),"",IF(F310+MAX(0,10-G310)&lt;=1,D310,D310*(1+(F310+MAX(0,10-G310))/30)))</f>
        <v/>
      </c>
      <c r="J310" s="16" t="str">
        <f aca="false">IF(A310="","",IF(AND(C310="yes",N(G310)&gt;=7),N(E310),0))</f>
        <v/>
      </c>
      <c r="K310" s="17" t="str">
        <f aca="false">IF(A310="","",A310-WEEKDAY(A310,3))</f>
        <v/>
      </c>
      <c r="L310" s="11"/>
    </row>
    <row r="311" customFormat="false" ht="15" hidden="false" customHeight="false" outlineLevel="0" collapsed="false">
      <c r="A311" s="10"/>
      <c r="B311" s="11"/>
      <c r="C311" s="11"/>
      <c r="D311" s="11"/>
      <c r="E311" s="11"/>
      <c r="F311" s="11"/>
      <c r="G311" s="11"/>
      <c r="H311" s="15" t="str">
        <f aca="false">IF(OR(D311="",F311=""),"",IF(F311&lt;=1,D311,D311*(1+F311/30)))</f>
        <v/>
      </c>
      <c r="I311" s="15" t="str">
        <f aca="false">IF(OR(D311="",F311="",G311=""),"",IF(F311+MAX(0,10-G311)&lt;=1,D311,D311*(1+(F311+MAX(0,10-G311))/30)))</f>
        <v/>
      </c>
      <c r="J311" s="16" t="str">
        <f aca="false">IF(A311="","",IF(AND(C311="yes",N(G311)&gt;=7),N(E311),0))</f>
        <v/>
      </c>
      <c r="K311" s="17" t="str">
        <f aca="false">IF(A311="","",A311-WEEKDAY(A311,3))</f>
        <v/>
      </c>
      <c r="L311" s="11"/>
    </row>
    <row r="312" customFormat="false" ht="15" hidden="false" customHeight="false" outlineLevel="0" collapsed="false">
      <c r="A312" s="10"/>
      <c r="B312" s="11"/>
      <c r="C312" s="11"/>
      <c r="D312" s="11"/>
      <c r="E312" s="11"/>
      <c r="F312" s="11"/>
      <c r="G312" s="11"/>
      <c r="H312" s="15" t="str">
        <f aca="false">IF(OR(D312="",F312=""),"",IF(F312&lt;=1,D312,D312*(1+F312/30)))</f>
        <v/>
      </c>
      <c r="I312" s="15" t="str">
        <f aca="false">IF(OR(D312="",F312="",G312=""),"",IF(F312+MAX(0,10-G312)&lt;=1,D312,D312*(1+(F312+MAX(0,10-G312))/30)))</f>
        <v/>
      </c>
      <c r="J312" s="16" t="str">
        <f aca="false">IF(A312="","",IF(AND(C312="yes",N(G312)&gt;=7),N(E312),0))</f>
        <v/>
      </c>
      <c r="K312" s="17" t="str">
        <f aca="false">IF(A312="","",A312-WEEKDAY(A312,3))</f>
        <v/>
      </c>
      <c r="L312" s="11"/>
    </row>
    <row r="313" customFormat="false" ht="15" hidden="false" customHeight="false" outlineLevel="0" collapsed="false">
      <c r="A313" s="10"/>
      <c r="B313" s="11"/>
      <c r="C313" s="11"/>
      <c r="D313" s="11"/>
      <c r="E313" s="11"/>
      <c r="F313" s="11"/>
      <c r="G313" s="11"/>
      <c r="H313" s="15" t="str">
        <f aca="false">IF(OR(D313="",F313=""),"",IF(F313&lt;=1,D313,D313*(1+F313/30)))</f>
        <v/>
      </c>
      <c r="I313" s="15" t="str">
        <f aca="false">IF(OR(D313="",F313="",G313=""),"",IF(F313+MAX(0,10-G313)&lt;=1,D313,D313*(1+(F313+MAX(0,10-G313))/30)))</f>
        <v/>
      </c>
      <c r="J313" s="16" t="str">
        <f aca="false">IF(A313="","",IF(AND(C313="yes",N(G313)&gt;=7),N(E313),0))</f>
        <v/>
      </c>
      <c r="K313" s="17" t="str">
        <f aca="false">IF(A313="","",A313-WEEKDAY(A313,3))</f>
        <v/>
      </c>
      <c r="L313" s="11"/>
    </row>
    <row r="314" customFormat="false" ht="15" hidden="false" customHeight="false" outlineLevel="0" collapsed="false">
      <c r="A314" s="10"/>
      <c r="B314" s="11"/>
      <c r="C314" s="11"/>
      <c r="D314" s="11"/>
      <c r="E314" s="11"/>
      <c r="F314" s="11"/>
      <c r="G314" s="11"/>
      <c r="H314" s="15" t="str">
        <f aca="false">IF(OR(D314="",F314=""),"",IF(F314&lt;=1,D314,D314*(1+F314/30)))</f>
        <v/>
      </c>
      <c r="I314" s="15" t="str">
        <f aca="false">IF(OR(D314="",F314="",G314=""),"",IF(F314+MAX(0,10-G314)&lt;=1,D314,D314*(1+(F314+MAX(0,10-G314))/30)))</f>
        <v/>
      </c>
      <c r="J314" s="16" t="str">
        <f aca="false">IF(A314="","",IF(AND(C314="yes",N(G314)&gt;=7),N(E314),0))</f>
        <v/>
      </c>
      <c r="K314" s="17" t="str">
        <f aca="false">IF(A314="","",A314-WEEKDAY(A314,3))</f>
        <v/>
      </c>
      <c r="L314" s="11"/>
    </row>
    <row r="315" customFormat="false" ht="15" hidden="false" customHeight="false" outlineLevel="0" collapsed="false">
      <c r="A315" s="10"/>
      <c r="B315" s="11"/>
      <c r="C315" s="11"/>
      <c r="D315" s="11"/>
      <c r="E315" s="11"/>
      <c r="F315" s="11"/>
      <c r="G315" s="11"/>
      <c r="H315" s="15" t="str">
        <f aca="false">IF(OR(D315="",F315=""),"",IF(F315&lt;=1,D315,D315*(1+F315/30)))</f>
        <v/>
      </c>
      <c r="I315" s="15" t="str">
        <f aca="false">IF(OR(D315="",F315="",G315=""),"",IF(F315+MAX(0,10-G315)&lt;=1,D315,D315*(1+(F315+MAX(0,10-G315))/30)))</f>
        <v/>
      </c>
      <c r="J315" s="16" t="str">
        <f aca="false">IF(A315="","",IF(AND(C315="yes",N(G315)&gt;=7),N(E315),0))</f>
        <v/>
      </c>
      <c r="K315" s="17" t="str">
        <f aca="false">IF(A315="","",A315-WEEKDAY(A315,3))</f>
        <v/>
      </c>
      <c r="L315" s="11"/>
    </row>
    <row r="316" customFormat="false" ht="15" hidden="false" customHeight="false" outlineLevel="0" collapsed="false">
      <c r="A316" s="10"/>
      <c r="B316" s="11"/>
      <c r="C316" s="11"/>
      <c r="D316" s="11"/>
      <c r="E316" s="11"/>
      <c r="F316" s="11"/>
      <c r="G316" s="11"/>
      <c r="H316" s="15" t="str">
        <f aca="false">IF(OR(D316="",F316=""),"",IF(F316&lt;=1,D316,D316*(1+F316/30)))</f>
        <v/>
      </c>
      <c r="I316" s="15" t="str">
        <f aca="false">IF(OR(D316="",F316="",G316=""),"",IF(F316+MAX(0,10-G316)&lt;=1,D316,D316*(1+(F316+MAX(0,10-G316))/30)))</f>
        <v/>
      </c>
      <c r="J316" s="16" t="str">
        <f aca="false">IF(A316="","",IF(AND(C316="yes",N(G316)&gt;=7),N(E316),0))</f>
        <v/>
      </c>
      <c r="K316" s="17" t="str">
        <f aca="false">IF(A316="","",A316-WEEKDAY(A316,3))</f>
        <v/>
      </c>
      <c r="L316" s="11"/>
    </row>
    <row r="317" customFormat="false" ht="15" hidden="false" customHeight="false" outlineLevel="0" collapsed="false">
      <c r="A317" s="10"/>
      <c r="B317" s="11"/>
      <c r="C317" s="11"/>
      <c r="D317" s="11"/>
      <c r="E317" s="11"/>
      <c r="F317" s="11"/>
      <c r="G317" s="11"/>
      <c r="H317" s="15" t="str">
        <f aca="false">IF(OR(D317="",F317=""),"",IF(F317&lt;=1,D317,D317*(1+F317/30)))</f>
        <v/>
      </c>
      <c r="I317" s="15" t="str">
        <f aca="false">IF(OR(D317="",F317="",G317=""),"",IF(F317+MAX(0,10-G317)&lt;=1,D317,D317*(1+(F317+MAX(0,10-G317))/30)))</f>
        <v/>
      </c>
      <c r="J317" s="16" t="str">
        <f aca="false">IF(A317="","",IF(AND(C317="yes",N(G317)&gt;=7),N(E317),0))</f>
        <v/>
      </c>
      <c r="K317" s="17" t="str">
        <f aca="false">IF(A317="","",A317-WEEKDAY(A317,3))</f>
        <v/>
      </c>
      <c r="L317" s="11"/>
    </row>
    <row r="318" customFormat="false" ht="15" hidden="false" customHeight="false" outlineLevel="0" collapsed="false">
      <c r="A318" s="10"/>
      <c r="B318" s="11"/>
      <c r="C318" s="11"/>
      <c r="D318" s="11"/>
      <c r="E318" s="11"/>
      <c r="F318" s="11"/>
      <c r="G318" s="11"/>
      <c r="H318" s="15" t="str">
        <f aca="false">IF(OR(D318="",F318=""),"",IF(F318&lt;=1,D318,D318*(1+F318/30)))</f>
        <v/>
      </c>
      <c r="I318" s="15" t="str">
        <f aca="false">IF(OR(D318="",F318="",G318=""),"",IF(F318+MAX(0,10-G318)&lt;=1,D318,D318*(1+(F318+MAX(0,10-G318))/30)))</f>
        <v/>
      </c>
      <c r="J318" s="16" t="str">
        <f aca="false">IF(A318="","",IF(AND(C318="yes",N(G318)&gt;=7),N(E318),0))</f>
        <v/>
      </c>
      <c r="K318" s="17" t="str">
        <f aca="false">IF(A318="","",A318-WEEKDAY(A318,3))</f>
        <v/>
      </c>
      <c r="L318" s="11"/>
    </row>
    <row r="319" customFormat="false" ht="15" hidden="false" customHeight="false" outlineLevel="0" collapsed="false">
      <c r="A319" s="10"/>
      <c r="B319" s="11"/>
      <c r="C319" s="11"/>
      <c r="D319" s="11"/>
      <c r="E319" s="11"/>
      <c r="F319" s="11"/>
      <c r="G319" s="11"/>
      <c r="H319" s="15" t="str">
        <f aca="false">IF(OR(D319="",F319=""),"",IF(F319&lt;=1,D319,D319*(1+F319/30)))</f>
        <v/>
      </c>
      <c r="I319" s="15" t="str">
        <f aca="false">IF(OR(D319="",F319="",G319=""),"",IF(F319+MAX(0,10-G319)&lt;=1,D319,D319*(1+(F319+MAX(0,10-G319))/30)))</f>
        <v/>
      </c>
      <c r="J319" s="16" t="str">
        <f aca="false">IF(A319="","",IF(AND(C319="yes",N(G319)&gt;=7),N(E319),0))</f>
        <v/>
      </c>
      <c r="K319" s="17" t="str">
        <f aca="false">IF(A319="","",A319-WEEKDAY(A319,3))</f>
        <v/>
      </c>
      <c r="L319" s="11"/>
    </row>
    <row r="320" customFormat="false" ht="15" hidden="false" customHeight="false" outlineLevel="0" collapsed="false">
      <c r="A320" s="10"/>
      <c r="B320" s="11"/>
      <c r="C320" s="11"/>
      <c r="D320" s="11"/>
      <c r="E320" s="11"/>
      <c r="F320" s="11"/>
      <c r="G320" s="11"/>
      <c r="H320" s="15" t="str">
        <f aca="false">IF(OR(D320="",F320=""),"",IF(F320&lt;=1,D320,D320*(1+F320/30)))</f>
        <v/>
      </c>
      <c r="I320" s="15" t="str">
        <f aca="false">IF(OR(D320="",F320="",G320=""),"",IF(F320+MAX(0,10-G320)&lt;=1,D320,D320*(1+(F320+MAX(0,10-G320))/30)))</f>
        <v/>
      </c>
      <c r="J320" s="16" t="str">
        <f aca="false">IF(A320="","",IF(AND(C320="yes",N(G320)&gt;=7),N(E320),0))</f>
        <v/>
      </c>
      <c r="K320" s="17" t="str">
        <f aca="false">IF(A320="","",A320-WEEKDAY(A320,3))</f>
        <v/>
      </c>
      <c r="L320" s="11"/>
    </row>
    <row r="321" customFormat="false" ht="15" hidden="false" customHeight="false" outlineLevel="0" collapsed="false">
      <c r="A321" s="10"/>
      <c r="B321" s="11"/>
      <c r="C321" s="11"/>
      <c r="D321" s="11"/>
      <c r="E321" s="11"/>
      <c r="F321" s="11"/>
      <c r="G321" s="11"/>
      <c r="H321" s="15" t="str">
        <f aca="false">IF(OR(D321="",F321=""),"",IF(F321&lt;=1,D321,D321*(1+F321/30)))</f>
        <v/>
      </c>
      <c r="I321" s="15" t="str">
        <f aca="false">IF(OR(D321="",F321="",G321=""),"",IF(F321+MAX(0,10-G321)&lt;=1,D321,D321*(1+(F321+MAX(0,10-G321))/30)))</f>
        <v/>
      </c>
      <c r="J321" s="16" t="str">
        <f aca="false">IF(A321="","",IF(AND(C321="yes",N(G321)&gt;=7),N(E321),0))</f>
        <v/>
      </c>
      <c r="K321" s="17" t="str">
        <f aca="false">IF(A321="","",A321-WEEKDAY(A321,3))</f>
        <v/>
      </c>
      <c r="L321" s="11"/>
    </row>
    <row r="322" customFormat="false" ht="15" hidden="false" customHeight="false" outlineLevel="0" collapsed="false">
      <c r="A322" s="10"/>
      <c r="B322" s="11"/>
      <c r="C322" s="11"/>
      <c r="D322" s="11"/>
      <c r="E322" s="11"/>
      <c r="F322" s="11"/>
      <c r="G322" s="11"/>
      <c r="H322" s="15" t="str">
        <f aca="false">IF(OR(D322="",F322=""),"",IF(F322&lt;=1,D322,D322*(1+F322/30)))</f>
        <v/>
      </c>
      <c r="I322" s="15" t="str">
        <f aca="false">IF(OR(D322="",F322="",G322=""),"",IF(F322+MAX(0,10-G322)&lt;=1,D322,D322*(1+(F322+MAX(0,10-G322))/30)))</f>
        <v/>
      </c>
      <c r="J322" s="16" t="str">
        <f aca="false">IF(A322="","",IF(AND(C322="yes",N(G322)&gt;=7),N(E322),0))</f>
        <v/>
      </c>
      <c r="K322" s="17" t="str">
        <f aca="false">IF(A322="","",A322-WEEKDAY(A322,3))</f>
        <v/>
      </c>
      <c r="L322" s="11"/>
    </row>
    <row r="323" customFormat="false" ht="15" hidden="false" customHeight="false" outlineLevel="0" collapsed="false">
      <c r="A323" s="10"/>
      <c r="B323" s="11"/>
      <c r="C323" s="11"/>
      <c r="D323" s="11"/>
      <c r="E323" s="11"/>
      <c r="F323" s="11"/>
      <c r="G323" s="11"/>
      <c r="H323" s="15" t="str">
        <f aca="false">IF(OR(D323="",F323=""),"",IF(F323&lt;=1,D323,D323*(1+F323/30)))</f>
        <v/>
      </c>
      <c r="I323" s="15" t="str">
        <f aca="false">IF(OR(D323="",F323="",G323=""),"",IF(F323+MAX(0,10-G323)&lt;=1,D323,D323*(1+(F323+MAX(0,10-G323))/30)))</f>
        <v/>
      </c>
      <c r="J323" s="16" t="str">
        <f aca="false">IF(A323="","",IF(AND(C323="yes",N(G323)&gt;=7),N(E323),0))</f>
        <v/>
      </c>
      <c r="K323" s="17" t="str">
        <f aca="false">IF(A323="","",A323-WEEKDAY(A323,3))</f>
        <v/>
      </c>
      <c r="L323" s="11"/>
    </row>
    <row r="324" customFormat="false" ht="15" hidden="false" customHeight="false" outlineLevel="0" collapsed="false">
      <c r="A324" s="10"/>
      <c r="B324" s="11"/>
      <c r="C324" s="11"/>
      <c r="D324" s="11"/>
      <c r="E324" s="11"/>
      <c r="F324" s="11"/>
      <c r="G324" s="11"/>
      <c r="H324" s="15" t="str">
        <f aca="false">IF(OR(D324="",F324=""),"",IF(F324&lt;=1,D324,D324*(1+F324/30)))</f>
        <v/>
      </c>
      <c r="I324" s="15" t="str">
        <f aca="false">IF(OR(D324="",F324="",G324=""),"",IF(F324+MAX(0,10-G324)&lt;=1,D324,D324*(1+(F324+MAX(0,10-G324))/30)))</f>
        <v/>
      </c>
      <c r="J324" s="16" t="str">
        <f aca="false">IF(A324="","",IF(AND(C324="yes",N(G324)&gt;=7),N(E324),0))</f>
        <v/>
      </c>
      <c r="K324" s="17" t="str">
        <f aca="false">IF(A324="","",A324-WEEKDAY(A324,3))</f>
        <v/>
      </c>
      <c r="L324" s="11"/>
    </row>
    <row r="325" customFormat="false" ht="15" hidden="false" customHeight="false" outlineLevel="0" collapsed="false">
      <c r="A325" s="10"/>
      <c r="B325" s="11"/>
      <c r="C325" s="11"/>
      <c r="D325" s="11"/>
      <c r="E325" s="11"/>
      <c r="F325" s="11"/>
      <c r="G325" s="11"/>
      <c r="H325" s="15" t="str">
        <f aca="false">IF(OR(D325="",F325=""),"",IF(F325&lt;=1,D325,D325*(1+F325/30)))</f>
        <v/>
      </c>
      <c r="I325" s="15" t="str">
        <f aca="false">IF(OR(D325="",F325="",G325=""),"",IF(F325+MAX(0,10-G325)&lt;=1,D325,D325*(1+(F325+MAX(0,10-G325))/30)))</f>
        <v/>
      </c>
      <c r="J325" s="16" t="str">
        <f aca="false">IF(A325="","",IF(AND(C325="yes",N(G325)&gt;=7),N(E325),0))</f>
        <v/>
      </c>
      <c r="K325" s="17" t="str">
        <f aca="false">IF(A325="","",A325-WEEKDAY(A325,3))</f>
        <v/>
      </c>
      <c r="L325" s="11"/>
    </row>
    <row r="326" customFormat="false" ht="15" hidden="false" customHeight="false" outlineLevel="0" collapsed="false">
      <c r="A326" s="10"/>
      <c r="B326" s="11"/>
      <c r="C326" s="11"/>
      <c r="D326" s="11"/>
      <c r="E326" s="11"/>
      <c r="F326" s="11"/>
      <c r="G326" s="11"/>
      <c r="H326" s="15" t="str">
        <f aca="false">IF(OR(D326="",F326=""),"",IF(F326&lt;=1,D326,D326*(1+F326/30)))</f>
        <v/>
      </c>
      <c r="I326" s="15" t="str">
        <f aca="false">IF(OR(D326="",F326="",G326=""),"",IF(F326+MAX(0,10-G326)&lt;=1,D326,D326*(1+(F326+MAX(0,10-G326))/30)))</f>
        <v/>
      </c>
      <c r="J326" s="16" t="str">
        <f aca="false">IF(A326="","",IF(AND(C326="yes",N(G326)&gt;=7),N(E326),0))</f>
        <v/>
      </c>
      <c r="K326" s="17" t="str">
        <f aca="false">IF(A326="","",A326-WEEKDAY(A326,3))</f>
        <v/>
      </c>
      <c r="L326" s="11"/>
    </row>
    <row r="327" customFormat="false" ht="15" hidden="false" customHeight="false" outlineLevel="0" collapsed="false">
      <c r="A327" s="10"/>
      <c r="B327" s="11"/>
      <c r="C327" s="11"/>
      <c r="D327" s="11"/>
      <c r="E327" s="11"/>
      <c r="F327" s="11"/>
      <c r="G327" s="11"/>
      <c r="H327" s="15" t="str">
        <f aca="false">IF(OR(D327="",F327=""),"",IF(F327&lt;=1,D327,D327*(1+F327/30)))</f>
        <v/>
      </c>
      <c r="I327" s="15" t="str">
        <f aca="false">IF(OR(D327="",F327="",G327=""),"",IF(F327+MAX(0,10-G327)&lt;=1,D327,D327*(1+(F327+MAX(0,10-G327))/30)))</f>
        <v/>
      </c>
      <c r="J327" s="16" t="str">
        <f aca="false">IF(A327="","",IF(AND(C327="yes",N(G327)&gt;=7),N(E327),0))</f>
        <v/>
      </c>
      <c r="K327" s="17" t="str">
        <f aca="false">IF(A327="","",A327-WEEKDAY(A327,3))</f>
        <v/>
      </c>
      <c r="L327" s="11"/>
    </row>
    <row r="328" customFormat="false" ht="15" hidden="false" customHeight="false" outlineLevel="0" collapsed="false">
      <c r="A328" s="10"/>
      <c r="B328" s="11"/>
      <c r="C328" s="11"/>
      <c r="D328" s="11"/>
      <c r="E328" s="11"/>
      <c r="F328" s="11"/>
      <c r="G328" s="11"/>
      <c r="H328" s="15" t="str">
        <f aca="false">IF(OR(D328="",F328=""),"",IF(F328&lt;=1,D328,D328*(1+F328/30)))</f>
        <v/>
      </c>
      <c r="I328" s="15" t="str">
        <f aca="false">IF(OR(D328="",F328="",G328=""),"",IF(F328+MAX(0,10-G328)&lt;=1,D328,D328*(1+(F328+MAX(0,10-G328))/30)))</f>
        <v/>
      </c>
      <c r="J328" s="16" t="str">
        <f aca="false">IF(A328="","",IF(AND(C328="yes",N(G328)&gt;=7),N(E328),0))</f>
        <v/>
      </c>
      <c r="K328" s="17" t="str">
        <f aca="false">IF(A328="","",A328-WEEKDAY(A328,3))</f>
        <v/>
      </c>
      <c r="L328" s="11"/>
    </row>
    <row r="329" customFormat="false" ht="15" hidden="false" customHeight="false" outlineLevel="0" collapsed="false">
      <c r="A329" s="10"/>
      <c r="B329" s="11"/>
      <c r="C329" s="11"/>
      <c r="D329" s="11"/>
      <c r="E329" s="11"/>
      <c r="F329" s="11"/>
      <c r="G329" s="11"/>
      <c r="H329" s="15" t="str">
        <f aca="false">IF(OR(D329="",F329=""),"",IF(F329&lt;=1,D329,D329*(1+F329/30)))</f>
        <v/>
      </c>
      <c r="I329" s="15" t="str">
        <f aca="false">IF(OR(D329="",F329="",G329=""),"",IF(F329+MAX(0,10-G329)&lt;=1,D329,D329*(1+(F329+MAX(0,10-G329))/30)))</f>
        <v/>
      </c>
      <c r="J329" s="16" t="str">
        <f aca="false">IF(A329="","",IF(AND(C329="yes",N(G329)&gt;=7),N(E329),0))</f>
        <v/>
      </c>
      <c r="K329" s="17" t="str">
        <f aca="false">IF(A329="","",A329-WEEKDAY(A329,3))</f>
        <v/>
      </c>
      <c r="L329" s="11"/>
    </row>
    <row r="330" customFormat="false" ht="15" hidden="false" customHeight="false" outlineLevel="0" collapsed="false">
      <c r="A330" s="10"/>
      <c r="B330" s="11"/>
      <c r="C330" s="11"/>
      <c r="D330" s="11"/>
      <c r="E330" s="11"/>
      <c r="F330" s="11"/>
      <c r="G330" s="11"/>
      <c r="H330" s="15" t="str">
        <f aca="false">IF(OR(D330="",F330=""),"",IF(F330&lt;=1,D330,D330*(1+F330/30)))</f>
        <v/>
      </c>
      <c r="I330" s="15" t="str">
        <f aca="false">IF(OR(D330="",F330="",G330=""),"",IF(F330+MAX(0,10-G330)&lt;=1,D330,D330*(1+(F330+MAX(0,10-G330))/30)))</f>
        <v/>
      </c>
      <c r="J330" s="16" t="str">
        <f aca="false">IF(A330="","",IF(AND(C330="yes",N(G330)&gt;=7),N(E330),0))</f>
        <v/>
      </c>
      <c r="K330" s="17" t="str">
        <f aca="false">IF(A330="","",A330-WEEKDAY(A330,3))</f>
        <v/>
      </c>
      <c r="L330" s="11"/>
    </row>
    <row r="331" customFormat="false" ht="15" hidden="false" customHeight="false" outlineLevel="0" collapsed="false">
      <c r="A331" s="10"/>
      <c r="B331" s="11"/>
      <c r="C331" s="11"/>
      <c r="D331" s="11"/>
      <c r="E331" s="11"/>
      <c r="F331" s="11"/>
      <c r="G331" s="11"/>
      <c r="H331" s="15" t="str">
        <f aca="false">IF(OR(D331="",F331=""),"",IF(F331&lt;=1,D331,D331*(1+F331/30)))</f>
        <v/>
      </c>
      <c r="I331" s="15" t="str">
        <f aca="false">IF(OR(D331="",F331="",G331=""),"",IF(F331+MAX(0,10-G331)&lt;=1,D331,D331*(1+(F331+MAX(0,10-G331))/30)))</f>
        <v/>
      </c>
      <c r="J331" s="16" t="str">
        <f aca="false">IF(A331="","",IF(AND(C331="yes",N(G331)&gt;=7),N(E331),0))</f>
        <v/>
      </c>
      <c r="K331" s="17" t="str">
        <f aca="false">IF(A331="","",A331-WEEKDAY(A331,3))</f>
        <v/>
      </c>
      <c r="L331" s="11"/>
    </row>
    <row r="332" customFormat="false" ht="15" hidden="false" customHeight="false" outlineLevel="0" collapsed="false">
      <c r="A332" s="10"/>
      <c r="B332" s="11"/>
      <c r="C332" s="11"/>
      <c r="D332" s="11"/>
      <c r="E332" s="11"/>
      <c r="F332" s="11"/>
      <c r="G332" s="11"/>
      <c r="H332" s="15" t="str">
        <f aca="false">IF(OR(D332="",F332=""),"",IF(F332&lt;=1,D332,D332*(1+F332/30)))</f>
        <v/>
      </c>
      <c r="I332" s="15" t="str">
        <f aca="false">IF(OR(D332="",F332="",G332=""),"",IF(F332+MAX(0,10-G332)&lt;=1,D332,D332*(1+(F332+MAX(0,10-G332))/30)))</f>
        <v/>
      </c>
      <c r="J332" s="16" t="str">
        <f aca="false">IF(A332="","",IF(AND(C332="yes",N(G332)&gt;=7),N(E332),0))</f>
        <v/>
      </c>
      <c r="K332" s="17" t="str">
        <f aca="false">IF(A332="","",A332-WEEKDAY(A332,3))</f>
        <v/>
      </c>
      <c r="L332" s="11"/>
    </row>
    <row r="333" customFormat="false" ht="15" hidden="false" customHeight="false" outlineLevel="0" collapsed="false">
      <c r="A333" s="10"/>
      <c r="B333" s="11"/>
      <c r="C333" s="11"/>
      <c r="D333" s="11"/>
      <c r="E333" s="11"/>
      <c r="F333" s="11"/>
      <c r="G333" s="11"/>
      <c r="H333" s="15" t="str">
        <f aca="false">IF(OR(D333="",F333=""),"",IF(F333&lt;=1,D333,D333*(1+F333/30)))</f>
        <v/>
      </c>
      <c r="I333" s="15" t="str">
        <f aca="false">IF(OR(D333="",F333="",G333=""),"",IF(F333+MAX(0,10-G333)&lt;=1,D333,D333*(1+(F333+MAX(0,10-G333))/30)))</f>
        <v/>
      </c>
      <c r="J333" s="16" t="str">
        <f aca="false">IF(A333="","",IF(AND(C333="yes",N(G333)&gt;=7),N(E333),0))</f>
        <v/>
      </c>
      <c r="K333" s="17" t="str">
        <f aca="false">IF(A333="","",A333-WEEKDAY(A333,3))</f>
        <v/>
      </c>
      <c r="L333" s="11"/>
    </row>
    <row r="334" customFormat="false" ht="15" hidden="false" customHeight="false" outlineLevel="0" collapsed="false">
      <c r="A334" s="10"/>
      <c r="B334" s="11"/>
      <c r="C334" s="11"/>
      <c r="D334" s="11"/>
      <c r="E334" s="11"/>
      <c r="F334" s="11"/>
      <c r="G334" s="11"/>
      <c r="H334" s="15" t="str">
        <f aca="false">IF(OR(D334="",F334=""),"",IF(F334&lt;=1,D334,D334*(1+F334/30)))</f>
        <v/>
      </c>
      <c r="I334" s="15" t="str">
        <f aca="false">IF(OR(D334="",F334="",G334=""),"",IF(F334+MAX(0,10-G334)&lt;=1,D334,D334*(1+(F334+MAX(0,10-G334))/30)))</f>
        <v/>
      </c>
      <c r="J334" s="16" t="str">
        <f aca="false">IF(A334="","",IF(AND(C334="yes",N(G334)&gt;=7),N(E334),0))</f>
        <v/>
      </c>
      <c r="K334" s="17" t="str">
        <f aca="false">IF(A334="","",A334-WEEKDAY(A334,3))</f>
        <v/>
      </c>
      <c r="L334" s="11"/>
    </row>
    <row r="335" customFormat="false" ht="15" hidden="false" customHeight="false" outlineLevel="0" collapsed="false">
      <c r="A335" s="10"/>
      <c r="B335" s="11"/>
      <c r="C335" s="11"/>
      <c r="D335" s="11"/>
      <c r="E335" s="11"/>
      <c r="F335" s="11"/>
      <c r="G335" s="11"/>
      <c r="H335" s="15" t="str">
        <f aca="false">IF(OR(D335="",F335=""),"",IF(F335&lt;=1,D335,D335*(1+F335/30)))</f>
        <v/>
      </c>
      <c r="I335" s="15" t="str">
        <f aca="false">IF(OR(D335="",F335="",G335=""),"",IF(F335+MAX(0,10-G335)&lt;=1,D335,D335*(1+(F335+MAX(0,10-G335))/30)))</f>
        <v/>
      </c>
      <c r="J335" s="16" t="str">
        <f aca="false">IF(A335="","",IF(AND(C335="yes",N(G335)&gt;=7),N(E335),0))</f>
        <v/>
      </c>
      <c r="K335" s="17" t="str">
        <f aca="false">IF(A335="","",A335-WEEKDAY(A335,3))</f>
        <v/>
      </c>
      <c r="L335" s="11"/>
    </row>
    <row r="336" customFormat="false" ht="15" hidden="false" customHeight="false" outlineLevel="0" collapsed="false">
      <c r="A336" s="10"/>
      <c r="B336" s="11"/>
      <c r="C336" s="11"/>
      <c r="D336" s="11"/>
      <c r="E336" s="11"/>
      <c r="F336" s="11"/>
      <c r="G336" s="11"/>
      <c r="H336" s="15" t="str">
        <f aca="false">IF(OR(D336="",F336=""),"",IF(F336&lt;=1,D336,D336*(1+F336/30)))</f>
        <v/>
      </c>
      <c r="I336" s="15" t="str">
        <f aca="false">IF(OR(D336="",F336="",G336=""),"",IF(F336+MAX(0,10-G336)&lt;=1,D336,D336*(1+(F336+MAX(0,10-G336))/30)))</f>
        <v/>
      </c>
      <c r="J336" s="16" t="str">
        <f aca="false">IF(A336="","",IF(AND(C336="yes",N(G336)&gt;=7),N(E336),0))</f>
        <v/>
      </c>
      <c r="K336" s="17" t="str">
        <f aca="false">IF(A336="","",A336-WEEKDAY(A336,3))</f>
        <v/>
      </c>
      <c r="L336" s="11"/>
    </row>
    <row r="337" customFormat="false" ht="15" hidden="false" customHeight="false" outlineLevel="0" collapsed="false">
      <c r="A337" s="10"/>
      <c r="B337" s="11"/>
      <c r="C337" s="11"/>
      <c r="D337" s="11"/>
      <c r="E337" s="11"/>
      <c r="F337" s="11"/>
      <c r="G337" s="11"/>
      <c r="H337" s="15" t="str">
        <f aca="false">IF(OR(D337="",F337=""),"",IF(F337&lt;=1,D337,D337*(1+F337/30)))</f>
        <v/>
      </c>
      <c r="I337" s="15" t="str">
        <f aca="false">IF(OR(D337="",F337="",G337=""),"",IF(F337+MAX(0,10-G337)&lt;=1,D337,D337*(1+(F337+MAX(0,10-G337))/30)))</f>
        <v/>
      </c>
      <c r="J337" s="16" t="str">
        <f aca="false">IF(A337="","",IF(AND(C337="yes",N(G337)&gt;=7),N(E337),0))</f>
        <v/>
      </c>
      <c r="K337" s="17" t="str">
        <f aca="false">IF(A337="","",A337-WEEKDAY(A337,3))</f>
        <v/>
      </c>
      <c r="L337" s="11"/>
    </row>
    <row r="338" customFormat="false" ht="15" hidden="false" customHeight="false" outlineLevel="0" collapsed="false">
      <c r="A338" s="10"/>
      <c r="B338" s="11"/>
      <c r="C338" s="11"/>
      <c r="D338" s="11"/>
      <c r="E338" s="11"/>
      <c r="F338" s="11"/>
      <c r="G338" s="11"/>
      <c r="H338" s="15" t="str">
        <f aca="false">IF(OR(D338="",F338=""),"",IF(F338&lt;=1,D338,D338*(1+F338/30)))</f>
        <v/>
      </c>
      <c r="I338" s="15" t="str">
        <f aca="false">IF(OR(D338="",F338="",G338=""),"",IF(F338+MAX(0,10-G338)&lt;=1,D338,D338*(1+(F338+MAX(0,10-G338))/30)))</f>
        <v/>
      </c>
      <c r="J338" s="16" t="str">
        <f aca="false">IF(A338="","",IF(AND(C338="yes",N(G338)&gt;=7),N(E338),0))</f>
        <v/>
      </c>
      <c r="K338" s="17" t="str">
        <f aca="false">IF(A338="","",A338-WEEKDAY(A338,3))</f>
        <v/>
      </c>
      <c r="L338" s="11"/>
    </row>
    <row r="339" customFormat="false" ht="15" hidden="false" customHeight="false" outlineLevel="0" collapsed="false">
      <c r="A339" s="10"/>
      <c r="B339" s="11"/>
      <c r="C339" s="11"/>
      <c r="D339" s="11"/>
      <c r="E339" s="11"/>
      <c r="F339" s="11"/>
      <c r="G339" s="11"/>
      <c r="H339" s="15" t="str">
        <f aca="false">IF(OR(D339="",F339=""),"",IF(F339&lt;=1,D339,D339*(1+F339/30)))</f>
        <v/>
      </c>
      <c r="I339" s="15" t="str">
        <f aca="false">IF(OR(D339="",F339="",G339=""),"",IF(F339+MAX(0,10-G339)&lt;=1,D339,D339*(1+(F339+MAX(0,10-G339))/30)))</f>
        <v/>
      </c>
      <c r="J339" s="16" t="str">
        <f aca="false">IF(A339="","",IF(AND(C339="yes",N(G339)&gt;=7),N(E339),0))</f>
        <v/>
      </c>
      <c r="K339" s="17" t="str">
        <f aca="false">IF(A339="","",A339-WEEKDAY(A339,3))</f>
        <v/>
      </c>
      <c r="L339" s="11"/>
    </row>
    <row r="340" customFormat="false" ht="15" hidden="false" customHeight="false" outlineLevel="0" collapsed="false">
      <c r="A340" s="10"/>
      <c r="B340" s="11"/>
      <c r="C340" s="11"/>
      <c r="D340" s="11"/>
      <c r="E340" s="11"/>
      <c r="F340" s="11"/>
      <c r="G340" s="11"/>
      <c r="H340" s="15" t="str">
        <f aca="false">IF(OR(D340="",F340=""),"",IF(F340&lt;=1,D340,D340*(1+F340/30)))</f>
        <v/>
      </c>
      <c r="I340" s="15" t="str">
        <f aca="false">IF(OR(D340="",F340="",G340=""),"",IF(F340+MAX(0,10-G340)&lt;=1,D340,D340*(1+(F340+MAX(0,10-G340))/30)))</f>
        <v/>
      </c>
      <c r="J340" s="16" t="str">
        <f aca="false">IF(A340="","",IF(AND(C340="yes",N(G340)&gt;=7),N(E340),0))</f>
        <v/>
      </c>
      <c r="K340" s="17" t="str">
        <f aca="false">IF(A340="","",A340-WEEKDAY(A340,3))</f>
        <v/>
      </c>
      <c r="L340" s="11"/>
    </row>
    <row r="341" customFormat="false" ht="15" hidden="false" customHeight="false" outlineLevel="0" collapsed="false">
      <c r="A341" s="10"/>
      <c r="B341" s="11"/>
      <c r="C341" s="11"/>
      <c r="D341" s="11"/>
      <c r="E341" s="11"/>
      <c r="F341" s="11"/>
      <c r="G341" s="11"/>
      <c r="H341" s="15" t="str">
        <f aca="false">IF(OR(D341="",F341=""),"",IF(F341&lt;=1,D341,D341*(1+F341/30)))</f>
        <v/>
      </c>
      <c r="I341" s="15" t="str">
        <f aca="false">IF(OR(D341="",F341="",G341=""),"",IF(F341+MAX(0,10-G341)&lt;=1,D341,D341*(1+(F341+MAX(0,10-G341))/30)))</f>
        <v/>
      </c>
      <c r="J341" s="16" t="str">
        <f aca="false">IF(A341="","",IF(AND(C341="yes",N(G341)&gt;=7),N(E341),0))</f>
        <v/>
      </c>
      <c r="K341" s="17" t="str">
        <f aca="false">IF(A341="","",A341-WEEKDAY(A341,3))</f>
        <v/>
      </c>
      <c r="L341" s="11"/>
    </row>
    <row r="342" customFormat="false" ht="15" hidden="false" customHeight="false" outlineLevel="0" collapsed="false">
      <c r="A342" s="10"/>
      <c r="B342" s="11"/>
      <c r="C342" s="11"/>
      <c r="D342" s="11"/>
      <c r="E342" s="11"/>
      <c r="F342" s="11"/>
      <c r="G342" s="11"/>
      <c r="H342" s="15" t="str">
        <f aca="false">IF(OR(D342="",F342=""),"",IF(F342&lt;=1,D342,D342*(1+F342/30)))</f>
        <v/>
      </c>
      <c r="I342" s="15" t="str">
        <f aca="false">IF(OR(D342="",F342="",G342=""),"",IF(F342+MAX(0,10-G342)&lt;=1,D342,D342*(1+(F342+MAX(0,10-G342))/30)))</f>
        <v/>
      </c>
      <c r="J342" s="16" t="str">
        <f aca="false">IF(A342="","",IF(AND(C342="yes",N(G342)&gt;=7),N(E342),0))</f>
        <v/>
      </c>
      <c r="K342" s="17" t="str">
        <f aca="false">IF(A342="","",A342-WEEKDAY(A342,3))</f>
        <v/>
      </c>
      <c r="L342" s="11"/>
    </row>
    <row r="343" customFormat="false" ht="15" hidden="false" customHeight="false" outlineLevel="0" collapsed="false">
      <c r="A343" s="10"/>
      <c r="B343" s="11"/>
      <c r="C343" s="11"/>
      <c r="D343" s="11"/>
      <c r="E343" s="11"/>
      <c r="F343" s="11"/>
      <c r="G343" s="11"/>
      <c r="H343" s="15" t="str">
        <f aca="false">IF(OR(D343="",F343=""),"",IF(F343&lt;=1,D343,D343*(1+F343/30)))</f>
        <v/>
      </c>
      <c r="I343" s="15" t="str">
        <f aca="false">IF(OR(D343="",F343="",G343=""),"",IF(F343+MAX(0,10-G343)&lt;=1,D343,D343*(1+(F343+MAX(0,10-G343))/30)))</f>
        <v/>
      </c>
      <c r="J343" s="16" t="str">
        <f aca="false">IF(A343="","",IF(AND(C343="yes",N(G343)&gt;=7),N(E343),0))</f>
        <v/>
      </c>
      <c r="K343" s="17" t="str">
        <f aca="false">IF(A343="","",A343-WEEKDAY(A343,3))</f>
        <v/>
      </c>
      <c r="L343" s="11"/>
    </row>
    <row r="344" customFormat="false" ht="15" hidden="false" customHeight="false" outlineLevel="0" collapsed="false">
      <c r="A344" s="10"/>
      <c r="B344" s="11"/>
      <c r="C344" s="11"/>
      <c r="D344" s="11"/>
      <c r="E344" s="11"/>
      <c r="F344" s="11"/>
      <c r="G344" s="11"/>
      <c r="H344" s="15" t="str">
        <f aca="false">IF(OR(D344="",F344=""),"",IF(F344&lt;=1,D344,D344*(1+F344/30)))</f>
        <v/>
      </c>
      <c r="I344" s="15" t="str">
        <f aca="false">IF(OR(D344="",F344="",G344=""),"",IF(F344+MAX(0,10-G344)&lt;=1,D344,D344*(1+(F344+MAX(0,10-G344))/30)))</f>
        <v/>
      </c>
      <c r="J344" s="16" t="str">
        <f aca="false">IF(A344="","",IF(AND(C344="yes",N(G344)&gt;=7),N(E344),0))</f>
        <v/>
      </c>
      <c r="K344" s="17" t="str">
        <f aca="false">IF(A344="","",A344-WEEKDAY(A344,3))</f>
        <v/>
      </c>
      <c r="L344" s="11"/>
    </row>
    <row r="345" customFormat="false" ht="15" hidden="false" customHeight="false" outlineLevel="0" collapsed="false">
      <c r="A345" s="10"/>
      <c r="B345" s="11"/>
      <c r="C345" s="11"/>
      <c r="D345" s="11"/>
      <c r="E345" s="11"/>
      <c r="F345" s="11"/>
      <c r="G345" s="11"/>
      <c r="H345" s="15" t="str">
        <f aca="false">IF(OR(D345="",F345=""),"",IF(F345&lt;=1,D345,D345*(1+F345/30)))</f>
        <v/>
      </c>
      <c r="I345" s="15" t="str">
        <f aca="false">IF(OR(D345="",F345="",G345=""),"",IF(F345+MAX(0,10-G345)&lt;=1,D345,D345*(1+(F345+MAX(0,10-G345))/30)))</f>
        <v/>
      </c>
      <c r="J345" s="16" t="str">
        <f aca="false">IF(A345="","",IF(AND(C345="yes",N(G345)&gt;=7),N(E345),0))</f>
        <v/>
      </c>
      <c r="K345" s="17" t="str">
        <f aca="false">IF(A345="","",A345-WEEKDAY(A345,3))</f>
        <v/>
      </c>
      <c r="L345" s="11"/>
    </row>
    <row r="346" customFormat="false" ht="15" hidden="false" customHeight="false" outlineLevel="0" collapsed="false">
      <c r="A346" s="10"/>
      <c r="B346" s="11"/>
      <c r="C346" s="11"/>
      <c r="D346" s="11"/>
      <c r="E346" s="11"/>
      <c r="F346" s="11"/>
      <c r="G346" s="11"/>
      <c r="H346" s="15" t="str">
        <f aca="false">IF(OR(D346="",F346=""),"",IF(F346&lt;=1,D346,D346*(1+F346/30)))</f>
        <v/>
      </c>
      <c r="I346" s="15" t="str">
        <f aca="false">IF(OR(D346="",F346="",G346=""),"",IF(F346+MAX(0,10-G346)&lt;=1,D346,D346*(1+(F346+MAX(0,10-G346))/30)))</f>
        <v/>
      </c>
      <c r="J346" s="16" t="str">
        <f aca="false">IF(A346="","",IF(AND(C346="yes",N(G346)&gt;=7),N(E346),0))</f>
        <v/>
      </c>
      <c r="K346" s="17" t="str">
        <f aca="false">IF(A346="","",A346-WEEKDAY(A346,3))</f>
        <v/>
      </c>
      <c r="L346" s="11"/>
    </row>
    <row r="347" customFormat="false" ht="15" hidden="false" customHeight="false" outlineLevel="0" collapsed="false">
      <c r="A347" s="10"/>
      <c r="B347" s="11"/>
      <c r="C347" s="11"/>
      <c r="D347" s="11"/>
      <c r="E347" s="11"/>
      <c r="F347" s="11"/>
      <c r="G347" s="11"/>
      <c r="H347" s="15" t="str">
        <f aca="false">IF(OR(D347="",F347=""),"",IF(F347&lt;=1,D347,D347*(1+F347/30)))</f>
        <v/>
      </c>
      <c r="I347" s="15" t="str">
        <f aca="false">IF(OR(D347="",F347="",G347=""),"",IF(F347+MAX(0,10-G347)&lt;=1,D347,D347*(1+(F347+MAX(0,10-G347))/30)))</f>
        <v/>
      </c>
      <c r="J347" s="16" t="str">
        <f aca="false">IF(A347="","",IF(AND(C347="yes",N(G347)&gt;=7),N(E347),0))</f>
        <v/>
      </c>
      <c r="K347" s="17" t="str">
        <f aca="false">IF(A347="","",A347-WEEKDAY(A347,3))</f>
        <v/>
      </c>
      <c r="L347" s="11"/>
    </row>
    <row r="348" customFormat="false" ht="15" hidden="false" customHeight="false" outlineLevel="0" collapsed="false">
      <c r="A348" s="10"/>
      <c r="B348" s="11"/>
      <c r="C348" s="11"/>
      <c r="D348" s="11"/>
      <c r="E348" s="11"/>
      <c r="F348" s="11"/>
      <c r="G348" s="11"/>
      <c r="H348" s="15" t="str">
        <f aca="false">IF(OR(D348="",F348=""),"",IF(F348&lt;=1,D348,D348*(1+F348/30)))</f>
        <v/>
      </c>
      <c r="I348" s="15" t="str">
        <f aca="false">IF(OR(D348="",F348="",G348=""),"",IF(F348+MAX(0,10-G348)&lt;=1,D348,D348*(1+(F348+MAX(0,10-G348))/30)))</f>
        <v/>
      </c>
      <c r="J348" s="16" t="str">
        <f aca="false">IF(A348="","",IF(AND(C348="yes",N(G348)&gt;=7),N(E348),0))</f>
        <v/>
      </c>
      <c r="K348" s="17" t="str">
        <f aca="false">IF(A348="","",A348-WEEKDAY(A348,3))</f>
        <v/>
      </c>
      <c r="L348" s="11"/>
    </row>
    <row r="349" customFormat="false" ht="15" hidden="false" customHeight="false" outlineLevel="0" collapsed="false">
      <c r="A349" s="10"/>
      <c r="B349" s="11"/>
      <c r="C349" s="11"/>
      <c r="D349" s="11"/>
      <c r="E349" s="11"/>
      <c r="F349" s="11"/>
      <c r="G349" s="11"/>
      <c r="H349" s="15" t="str">
        <f aca="false">IF(OR(D349="",F349=""),"",IF(F349&lt;=1,D349,D349*(1+F349/30)))</f>
        <v/>
      </c>
      <c r="I349" s="15" t="str">
        <f aca="false">IF(OR(D349="",F349="",G349=""),"",IF(F349+MAX(0,10-G349)&lt;=1,D349,D349*(1+(F349+MAX(0,10-G349))/30)))</f>
        <v/>
      </c>
      <c r="J349" s="16" t="str">
        <f aca="false">IF(A349="","",IF(AND(C349="yes",N(G349)&gt;=7),N(E349),0))</f>
        <v/>
      </c>
      <c r="K349" s="17" t="str">
        <f aca="false">IF(A349="","",A349-WEEKDAY(A349,3))</f>
        <v/>
      </c>
      <c r="L349" s="11"/>
    </row>
    <row r="350" customFormat="false" ht="15" hidden="false" customHeight="false" outlineLevel="0" collapsed="false">
      <c r="A350" s="10"/>
      <c r="B350" s="11"/>
      <c r="C350" s="11"/>
      <c r="D350" s="11"/>
      <c r="E350" s="11"/>
      <c r="F350" s="11"/>
      <c r="G350" s="11"/>
      <c r="H350" s="15" t="str">
        <f aca="false">IF(OR(D350="",F350=""),"",IF(F350&lt;=1,D350,D350*(1+F350/30)))</f>
        <v/>
      </c>
      <c r="I350" s="15" t="str">
        <f aca="false">IF(OR(D350="",F350="",G350=""),"",IF(F350+MAX(0,10-G350)&lt;=1,D350,D350*(1+(F350+MAX(0,10-G350))/30)))</f>
        <v/>
      </c>
      <c r="J350" s="16" t="str">
        <f aca="false">IF(A350="","",IF(AND(C350="yes",N(G350)&gt;=7),N(E350),0))</f>
        <v/>
      </c>
      <c r="K350" s="17" t="str">
        <f aca="false">IF(A350="","",A350-WEEKDAY(A350,3))</f>
        <v/>
      </c>
      <c r="L350" s="11"/>
    </row>
    <row r="351" customFormat="false" ht="15" hidden="false" customHeight="false" outlineLevel="0" collapsed="false">
      <c r="A351" s="10"/>
      <c r="B351" s="11"/>
      <c r="C351" s="11"/>
      <c r="D351" s="11"/>
      <c r="E351" s="11"/>
      <c r="F351" s="11"/>
      <c r="G351" s="11"/>
      <c r="H351" s="15" t="str">
        <f aca="false">IF(OR(D351="",F351=""),"",IF(F351&lt;=1,D351,D351*(1+F351/30)))</f>
        <v/>
      </c>
      <c r="I351" s="15" t="str">
        <f aca="false">IF(OR(D351="",F351="",G351=""),"",IF(F351+MAX(0,10-G351)&lt;=1,D351,D351*(1+(F351+MAX(0,10-G351))/30)))</f>
        <v/>
      </c>
      <c r="J351" s="16" t="str">
        <f aca="false">IF(A351="","",IF(AND(C351="yes",N(G351)&gt;=7),N(E351),0))</f>
        <v/>
      </c>
      <c r="K351" s="17" t="str">
        <f aca="false">IF(A351="","",A351-WEEKDAY(A351,3))</f>
        <v/>
      </c>
      <c r="L351" s="11"/>
    </row>
    <row r="352" customFormat="false" ht="15" hidden="false" customHeight="false" outlineLevel="0" collapsed="false">
      <c r="A352" s="10"/>
      <c r="B352" s="11"/>
      <c r="C352" s="11"/>
      <c r="D352" s="11"/>
      <c r="E352" s="11"/>
      <c r="F352" s="11"/>
      <c r="G352" s="11"/>
      <c r="H352" s="15" t="str">
        <f aca="false">IF(OR(D352="",F352=""),"",IF(F352&lt;=1,D352,D352*(1+F352/30)))</f>
        <v/>
      </c>
      <c r="I352" s="15" t="str">
        <f aca="false">IF(OR(D352="",F352="",G352=""),"",IF(F352+MAX(0,10-G352)&lt;=1,D352,D352*(1+(F352+MAX(0,10-G352))/30)))</f>
        <v/>
      </c>
      <c r="J352" s="16" t="str">
        <f aca="false">IF(A352="","",IF(AND(C352="yes",N(G352)&gt;=7),N(E352),0))</f>
        <v/>
      </c>
      <c r="K352" s="17" t="str">
        <f aca="false">IF(A352="","",A352-WEEKDAY(A352,3))</f>
        <v/>
      </c>
      <c r="L352" s="11"/>
    </row>
    <row r="353" customFormat="false" ht="15" hidden="false" customHeight="false" outlineLevel="0" collapsed="false">
      <c r="A353" s="10"/>
      <c r="B353" s="11"/>
      <c r="C353" s="11"/>
      <c r="D353" s="11"/>
      <c r="E353" s="11"/>
      <c r="F353" s="11"/>
      <c r="G353" s="11"/>
      <c r="H353" s="15" t="str">
        <f aca="false">IF(OR(D353="",F353=""),"",IF(F353&lt;=1,D353,D353*(1+F353/30)))</f>
        <v/>
      </c>
      <c r="I353" s="15" t="str">
        <f aca="false">IF(OR(D353="",F353="",G353=""),"",IF(F353+MAX(0,10-G353)&lt;=1,D353,D353*(1+(F353+MAX(0,10-G353))/30)))</f>
        <v/>
      </c>
      <c r="J353" s="16" t="str">
        <f aca="false">IF(A353="","",IF(AND(C353="yes",N(G353)&gt;=7),N(E353),0))</f>
        <v/>
      </c>
      <c r="K353" s="17" t="str">
        <f aca="false">IF(A353="","",A353-WEEKDAY(A353,3))</f>
        <v/>
      </c>
      <c r="L353" s="11"/>
    </row>
    <row r="354" customFormat="false" ht="15" hidden="false" customHeight="false" outlineLevel="0" collapsed="false">
      <c r="A354" s="10"/>
      <c r="B354" s="11"/>
      <c r="C354" s="11"/>
      <c r="D354" s="11"/>
      <c r="E354" s="11"/>
      <c r="F354" s="11"/>
      <c r="G354" s="11"/>
      <c r="H354" s="15" t="str">
        <f aca="false">IF(OR(D354="",F354=""),"",IF(F354&lt;=1,D354,D354*(1+F354/30)))</f>
        <v/>
      </c>
      <c r="I354" s="15" t="str">
        <f aca="false">IF(OR(D354="",F354="",G354=""),"",IF(F354+MAX(0,10-G354)&lt;=1,D354,D354*(1+(F354+MAX(0,10-G354))/30)))</f>
        <v/>
      </c>
      <c r="J354" s="16" t="str">
        <f aca="false">IF(A354="","",IF(AND(C354="yes",N(G354)&gt;=7),N(E354),0))</f>
        <v/>
      </c>
      <c r="K354" s="17" t="str">
        <f aca="false">IF(A354="","",A354-WEEKDAY(A354,3))</f>
        <v/>
      </c>
      <c r="L354" s="11"/>
    </row>
    <row r="355" customFormat="false" ht="15" hidden="false" customHeight="false" outlineLevel="0" collapsed="false">
      <c r="A355" s="10"/>
      <c r="B355" s="11"/>
      <c r="C355" s="11"/>
      <c r="D355" s="11"/>
      <c r="E355" s="11"/>
      <c r="F355" s="11"/>
      <c r="G355" s="11"/>
      <c r="H355" s="15" t="str">
        <f aca="false">IF(OR(D355="",F355=""),"",IF(F355&lt;=1,D355,D355*(1+F355/30)))</f>
        <v/>
      </c>
      <c r="I355" s="15" t="str">
        <f aca="false">IF(OR(D355="",F355="",G355=""),"",IF(F355+MAX(0,10-G355)&lt;=1,D355,D355*(1+(F355+MAX(0,10-G355))/30)))</f>
        <v/>
      </c>
      <c r="J355" s="16" t="str">
        <f aca="false">IF(A355="","",IF(AND(C355="yes",N(G355)&gt;=7),N(E355),0))</f>
        <v/>
      </c>
      <c r="K355" s="17" t="str">
        <f aca="false">IF(A355="","",A355-WEEKDAY(A355,3))</f>
        <v/>
      </c>
      <c r="L355" s="11"/>
    </row>
    <row r="356" customFormat="false" ht="15" hidden="false" customHeight="false" outlineLevel="0" collapsed="false">
      <c r="A356" s="10"/>
      <c r="B356" s="11"/>
      <c r="C356" s="11"/>
      <c r="D356" s="11"/>
      <c r="E356" s="11"/>
      <c r="F356" s="11"/>
      <c r="G356" s="11"/>
      <c r="H356" s="15" t="str">
        <f aca="false">IF(OR(D356="",F356=""),"",IF(F356&lt;=1,D356,D356*(1+F356/30)))</f>
        <v/>
      </c>
      <c r="I356" s="15" t="str">
        <f aca="false">IF(OR(D356="",F356="",G356=""),"",IF(F356+MAX(0,10-G356)&lt;=1,D356,D356*(1+(F356+MAX(0,10-G356))/30)))</f>
        <v/>
      </c>
      <c r="J356" s="16" t="str">
        <f aca="false">IF(A356="","",IF(AND(C356="yes",N(G356)&gt;=7),N(E356),0))</f>
        <v/>
      </c>
      <c r="K356" s="17" t="str">
        <f aca="false">IF(A356="","",A356-WEEKDAY(A356,3))</f>
        <v/>
      </c>
      <c r="L356" s="11"/>
    </row>
    <row r="357" customFormat="false" ht="15" hidden="false" customHeight="false" outlineLevel="0" collapsed="false">
      <c r="A357" s="10"/>
      <c r="B357" s="11"/>
      <c r="C357" s="11"/>
      <c r="D357" s="11"/>
      <c r="E357" s="11"/>
      <c r="F357" s="11"/>
      <c r="G357" s="11"/>
      <c r="H357" s="15" t="str">
        <f aca="false">IF(OR(D357="",F357=""),"",IF(F357&lt;=1,D357,D357*(1+F357/30)))</f>
        <v/>
      </c>
      <c r="I357" s="15" t="str">
        <f aca="false">IF(OR(D357="",F357="",G357=""),"",IF(F357+MAX(0,10-G357)&lt;=1,D357,D357*(1+(F357+MAX(0,10-G357))/30)))</f>
        <v/>
      </c>
      <c r="J357" s="16" t="str">
        <f aca="false">IF(A357="","",IF(AND(C357="yes",N(G357)&gt;=7),N(E357),0))</f>
        <v/>
      </c>
      <c r="K357" s="17" t="str">
        <f aca="false">IF(A357="","",A357-WEEKDAY(A357,3))</f>
        <v/>
      </c>
      <c r="L357" s="11"/>
    </row>
    <row r="358" customFormat="false" ht="15" hidden="false" customHeight="false" outlineLevel="0" collapsed="false">
      <c r="A358" s="10"/>
      <c r="B358" s="11"/>
      <c r="C358" s="11"/>
      <c r="D358" s="11"/>
      <c r="E358" s="11"/>
      <c r="F358" s="11"/>
      <c r="G358" s="11"/>
      <c r="H358" s="15" t="str">
        <f aca="false">IF(OR(D358="",F358=""),"",IF(F358&lt;=1,D358,D358*(1+F358/30)))</f>
        <v/>
      </c>
      <c r="I358" s="15" t="str">
        <f aca="false">IF(OR(D358="",F358="",G358=""),"",IF(F358+MAX(0,10-G358)&lt;=1,D358,D358*(1+(F358+MAX(0,10-G358))/30)))</f>
        <v/>
      </c>
      <c r="J358" s="16" t="str">
        <f aca="false">IF(A358="","",IF(AND(C358="yes",N(G358)&gt;=7),N(E358),0))</f>
        <v/>
      </c>
      <c r="K358" s="17" t="str">
        <f aca="false">IF(A358="","",A358-WEEKDAY(A358,3))</f>
        <v/>
      </c>
      <c r="L358" s="11"/>
    </row>
    <row r="359" customFormat="false" ht="15" hidden="false" customHeight="false" outlineLevel="0" collapsed="false">
      <c r="A359" s="10"/>
      <c r="B359" s="11"/>
      <c r="C359" s="11"/>
      <c r="D359" s="11"/>
      <c r="E359" s="11"/>
      <c r="F359" s="11"/>
      <c r="G359" s="11"/>
      <c r="H359" s="15" t="str">
        <f aca="false">IF(OR(D359="",F359=""),"",IF(F359&lt;=1,D359,D359*(1+F359/30)))</f>
        <v/>
      </c>
      <c r="I359" s="15" t="str">
        <f aca="false">IF(OR(D359="",F359="",G359=""),"",IF(F359+MAX(0,10-G359)&lt;=1,D359,D359*(1+(F359+MAX(0,10-G359))/30)))</f>
        <v/>
      </c>
      <c r="J359" s="16" t="str">
        <f aca="false">IF(A359="","",IF(AND(C359="yes",N(G359)&gt;=7),N(E359),0))</f>
        <v/>
      </c>
      <c r="K359" s="17" t="str">
        <f aca="false">IF(A359="","",A359-WEEKDAY(A359,3))</f>
        <v/>
      </c>
      <c r="L359" s="11"/>
    </row>
    <row r="360" customFormat="false" ht="15" hidden="false" customHeight="false" outlineLevel="0" collapsed="false">
      <c r="A360" s="10"/>
      <c r="B360" s="11"/>
      <c r="C360" s="11"/>
      <c r="D360" s="11"/>
      <c r="E360" s="11"/>
      <c r="F360" s="11"/>
      <c r="G360" s="11"/>
      <c r="H360" s="15" t="str">
        <f aca="false">IF(OR(D360="",F360=""),"",IF(F360&lt;=1,D360,D360*(1+F360/30)))</f>
        <v/>
      </c>
      <c r="I360" s="15" t="str">
        <f aca="false">IF(OR(D360="",F360="",G360=""),"",IF(F360+MAX(0,10-G360)&lt;=1,D360,D360*(1+(F360+MAX(0,10-G360))/30)))</f>
        <v/>
      </c>
      <c r="J360" s="16" t="str">
        <f aca="false">IF(A360="","",IF(AND(C360="yes",N(G360)&gt;=7),N(E360),0))</f>
        <v/>
      </c>
      <c r="K360" s="17" t="str">
        <f aca="false">IF(A360="","",A360-WEEKDAY(A360,3))</f>
        <v/>
      </c>
      <c r="L360" s="11"/>
    </row>
    <row r="361" customFormat="false" ht="15" hidden="false" customHeight="false" outlineLevel="0" collapsed="false">
      <c r="A361" s="10"/>
      <c r="B361" s="11"/>
      <c r="C361" s="11"/>
      <c r="D361" s="11"/>
      <c r="E361" s="11"/>
      <c r="F361" s="11"/>
      <c r="G361" s="11"/>
      <c r="H361" s="15" t="str">
        <f aca="false">IF(OR(D361="",F361=""),"",IF(F361&lt;=1,D361,D361*(1+F361/30)))</f>
        <v/>
      </c>
      <c r="I361" s="15" t="str">
        <f aca="false">IF(OR(D361="",F361="",G361=""),"",IF(F361+MAX(0,10-G361)&lt;=1,D361,D361*(1+(F361+MAX(0,10-G361))/30)))</f>
        <v/>
      </c>
      <c r="J361" s="16" t="str">
        <f aca="false">IF(A361="","",IF(AND(C361="yes",N(G361)&gt;=7),N(E361),0))</f>
        <v/>
      </c>
      <c r="K361" s="17" t="str">
        <f aca="false">IF(A361="","",A361-WEEKDAY(A361,3))</f>
        <v/>
      </c>
      <c r="L361" s="11"/>
    </row>
    <row r="362" customFormat="false" ht="15" hidden="false" customHeight="false" outlineLevel="0" collapsed="false">
      <c r="A362" s="10"/>
      <c r="B362" s="11"/>
      <c r="C362" s="11"/>
      <c r="D362" s="11"/>
      <c r="E362" s="11"/>
      <c r="F362" s="11"/>
      <c r="G362" s="11"/>
      <c r="H362" s="15" t="str">
        <f aca="false">IF(OR(D362="",F362=""),"",IF(F362&lt;=1,D362,D362*(1+F362/30)))</f>
        <v/>
      </c>
      <c r="I362" s="15" t="str">
        <f aca="false">IF(OR(D362="",F362="",G362=""),"",IF(F362+MAX(0,10-G362)&lt;=1,D362,D362*(1+(F362+MAX(0,10-G362))/30)))</f>
        <v/>
      </c>
      <c r="J362" s="16" t="str">
        <f aca="false">IF(A362="","",IF(AND(C362="yes",N(G362)&gt;=7),N(E362),0))</f>
        <v/>
      </c>
      <c r="K362" s="17" t="str">
        <f aca="false">IF(A362="","",A362-WEEKDAY(A362,3))</f>
        <v/>
      </c>
      <c r="L362" s="11"/>
    </row>
    <row r="363" customFormat="false" ht="15" hidden="false" customHeight="false" outlineLevel="0" collapsed="false">
      <c r="A363" s="10"/>
      <c r="B363" s="11"/>
      <c r="C363" s="11"/>
      <c r="D363" s="11"/>
      <c r="E363" s="11"/>
      <c r="F363" s="11"/>
      <c r="G363" s="11"/>
      <c r="H363" s="15" t="str">
        <f aca="false">IF(OR(D363="",F363=""),"",IF(F363&lt;=1,D363,D363*(1+F363/30)))</f>
        <v/>
      </c>
      <c r="I363" s="15" t="str">
        <f aca="false">IF(OR(D363="",F363="",G363=""),"",IF(F363+MAX(0,10-G363)&lt;=1,D363,D363*(1+(F363+MAX(0,10-G363))/30)))</f>
        <v/>
      </c>
      <c r="J363" s="16" t="str">
        <f aca="false">IF(A363="","",IF(AND(C363="yes",N(G363)&gt;=7),N(E363),0))</f>
        <v/>
      </c>
      <c r="K363" s="17" t="str">
        <f aca="false">IF(A363="","",A363-WEEKDAY(A363,3))</f>
        <v/>
      </c>
      <c r="L363" s="11"/>
    </row>
    <row r="364" customFormat="false" ht="15" hidden="false" customHeight="false" outlineLevel="0" collapsed="false">
      <c r="A364" s="10"/>
      <c r="B364" s="11"/>
      <c r="C364" s="11"/>
      <c r="D364" s="11"/>
      <c r="E364" s="11"/>
      <c r="F364" s="11"/>
      <c r="G364" s="11"/>
      <c r="H364" s="15" t="str">
        <f aca="false">IF(OR(D364="",F364=""),"",IF(F364&lt;=1,D364,D364*(1+F364/30)))</f>
        <v/>
      </c>
      <c r="I364" s="15" t="str">
        <f aca="false">IF(OR(D364="",F364="",G364=""),"",IF(F364+MAX(0,10-G364)&lt;=1,D364,D364*(1+(F364+MAX(0,10-G364))/30)))</f>
        <v/>
      </c>
      <c r="J364" s="16" t="str">
        <f aca="false">IF(A364="","",IF(AND(C364="yes",N(G364)&gt;=7),N(E364),0))</f>
        <v/>
      </c>
      <c r="K364" s="17" t="str">
        <f aca="false">IF(A364="","",A364-WEEKDAY(A364,3))</f>
        <v/>
      </c>
      <c r="L364" s="11"/>
    </row>
    <row r="365" customFormat="false" ht="15" hidden="false" customHeight="false" outlineLevel="0" collapsed="false">
      <c r="A365" s="10"/>
      <c r="B365" s="11"/>
      <c r="C365" s="11"/>
      <c r="D365" s="11"/>
      <c r="E365" s="11"/>
      <c r="F365" s="11"/>
      <c r="G365" s="11"/>
      <c r="H365" s="15" t="str">
        <f aca="false">IF(OR(D365="",F365=""),"",IF(F365&lt;=1,D365,D365*(1+F365/30)))</f>
        <v/>
      </c>
      <c r="I365" s="15" t="str">
        <f aca="false">IF(OR(D365="",F365="",G365=""),"",IF(F365+MAX(0,10-G365)&lt;=1,D365,D365*(1+(F365+MAX(0,10-G365))/30)))</f>
        <v/>
      </c>
      <c r="J365" s="16" t="str">
        <f aca="false">IF(A365="","",IF(AND(C365="yes",N(G365)&gt;=7),N(E365),0))</f>
        <v/>
      </c>
      <c r="K365" s="17" t="str">
        <f aca="false">IF(A365="","",A365-WEEKDAY(A365,3))</f>
        <v/>
      </c>
      <c r="L365" s="11"/>
    </row>
    <row r="366" customFormat="false" ht="15" hidden="false" customHeight="false" outlineLevel="0" collapsed="false">
      <c r="A366" s="10"/>
      <c r="B366" s="11"/>
      <c r="C366" s="11"/>
      <c r="D366" s="11"/>
      <c r="E366" s="11"/>
      <c r="F366" s="11"/>
      <c r="G366" s="11"/>
      <c r="H366" s="15" t="str">
        <f aca="false">IF(OR(D366="",F366=""),"",IF(F366&lt;=1,D366,D366*(1+F366/30)))</f>
        <v/>
      </c>
      <c r="I366" s="15" t="str">
        <f aca="false">IF(OR(D366="",F366="",G366=""),"",IF(F366+MAX(0,10-G366)&lt;=1,D366,D366*(1+(F366+MAX(0,10-G366))/30)))</f>
        <v/>
      </c>
      <c r="J366" s="16" t="str">
        <f aca="false">IF(A366="","",IF(AND(C366="yes",N(G366)&gt;=7),N(E366),0))</f>
        <v/>
      </c>
      <c r="K366" s="17" t="str">
        <f aca="false">IF(A366="","",A366-WEEKDAY(A366,3))</f>
        <v/>
      </c>
      <c r="L366" s="11"/>
    </row>
    <row r="367" customFormat="false" ht="15" hidden="false" customHeight="false" outlineLevel="0" collapsed="false">
      <c r="A367" s="10"/>
      <c r="B367" s="11"/>
      <c r="C367" s="11"/>
      <c r="D367" s="11"/>
      <c r="E367" s="11"/>
      <c r="F367" s="11"/>
      <c r="G367" s="11"/>
      <c r="H367" s="15" t="str">
        <f aca="false">IF(OR(D367="",F367=""),"",IF(F367&lt;=1,D367,D367*(1+F367/30)))</f>
        <v/>
      </c>
      <c r="I367" s="15" t="str">
        <f aca="false">IF(OR(D367="",F367="",G367=""),"",IF(F367+MAX(0,10-G367)&lt;=1,D367,D367*(1+(F367+MAX(0,10-G367))/30)))</f>
        <v/>
      </c>
      <c r="J367" s="16" t="str">
        <f aca="false">IF(A367="","",IF(AND(C367="yes",N(G367)&gt;=7),N(E367),0))</f>
        <v/>
      </c>
      <c r="K367" s="17" t="str">
        <f aca="false">IF(A367="","",A367-WEEKDAY(A367,3))</f>
        <v/>
      </c>
      <c r="L367" s="11"/>
    </row>
    <row r="368" customFormat="false" ht="15" hidden="false" customHeight="false" outlineLevel="0" collapsed="false">
      <c r="A368" s="10"/>
      <c r="B368" s="11"/>
      <c r="C368" s="11"/>
      <c r="D368" s="11"/>
      <c r="E368" s="11"/>
      <c r="F368" s="11"/>
      <c r="G368" s="11"/>
      <c r="H368" s="15" t="str">
        <f aca="false">IF(OR(D368="",F368=""),"",IF(F368&lt;=1,D368,D368*(1+F368/30)))</f>
        <v/>
      </c>
      <c r="I368" s="15" t="str">
        <f aca="false">IF(OR(D368="",F368="",G368=""),"",IF(F368+MAX(0,10-G368)&lt;=1,D368,D368*(1+(F368+MAX(0,10-G368))/30)))</f>
        <v/>
      </c>
      <c r="J368" s="16" t="str">
        <f aca="false">IF(A368="","",IF(AND(C368="yes",N(G368)&gt;=7),N(E368),0))</f>
        <v/>
      </c>
      <c r="K368" s="17" t="str">
        <f aca="false">IF(A368="","",A368-WEEKDAY(A368,3))</f>
        <v/>
      </c>
      <c r="L368" s="11"/>
    </row>
    <row r="369" customFormat="false" ht="15" hidden="false" customHeight="false" outlineLevel="0" collapsed="false">
      <c r="A369" s="10"/>
      <c r="B369" s="11"/>
      <c r="C369" s="11"/>
      <c r="D369" s="11"/>
      <c r="E369" s="11"/>
      <c r="F369" s="11"/>
      <c r="G369" s="11"/>
      <c r="H369" s="15" t="str">
        <f aca="false">IF(OR(D369="",F369=""),"",IF(F369&lt;=1,D369,D369*(1+F369/30)))</f>
        <v/>
      </c>
      <c r="I369" s="15" t="str">
        <f aca="false">IF(OR(D369="",F369="",G369=""),"",IF(F369+MAX(0,10-G369)&lt;=1,D369,D369*(1+(F369+MAX(0,10-G369))/30)))</f>
        <v/>
      </c>
      <c r="J369" s="16" t="str">
        <f aca="false">IF(A369="","",IF(AND(C369="yes",N(G369)&gt;=7),N(E369),0))</f>
        <v/>
      </c>
      <c r="K369" s="17" t="str">
        <f aca="false">IF(A369="","",A369-WEEKDAY(A369,3))</f>
        <v/>
      </c>
      <c r="L369" s="11"/>
    </row>
    <row r="370" customFormat="false" ht="15" hidden="false" customHeight="false" outlineLevel="0" collapsed="false">
      <c r="A370" s="10"/>
      <c r="B370" s="11"/>
      <c r="C370" s="11"/>
      <c r="D370" s="11"/>
      <c r="E370" s="11"/>
      <c r="F370" s="11"/>
      <c r="G370" s="11"/>
      <c r="H370" s="15" t="str">
        <f aca="false">IF(OR(D370="",F370=""),"",IF(F370&lt;=1,D370,D370*(1+F370/30)))</f>
        <v/>
      </c>
      <c r="I370" s="15" t="str">
        <f aca="false">IF(OR(D370="",F370="",G370=""),"",IF(F370+MAX(0,10-G370)&lt;=1,D370,D370*(1+(F370+MAX(0,10-G370))/30)))</f>
        <v/>
      </c>
      <c r="J370" s="16" t="str">
        <f aca="false">IF(A370="","",IF(AND(C370="yes",N(G370)&gt;=7),N(E370),0))</f>
        <v/>
      </c>
      <c r="K370" s="17" t="str">
        <f aca="false">IF(A370="","",A370-WEEKDAY(A370,3))</f>
        <v/>
      </c>
      <c r="L370" s="11"/>
    </row>
    <row r="371" customFormat="false" ht="15" hidden="false" customHeight="false" outlineLevel="0" collapsed="false">
      <c r="A371" s="10"/>
      <c r="B371" s="11"/>
      <c r="C371" s="11"/>
      <c r="D371" s="11"/>
      <c r="E371" s="11"/>
      <c r="F371" s="11"/>
      <c r="G371" s="11"/>
      <c r="H371" s="15" t="str">
        <f aca="false">IF(OR(D371="",F371=""),"",IF(F371&lt;=1,D371,D371*(1+F371/30)))</f>
        <v/>
      </c>
      <c r="I371" s="15" t="str">
        <f aca="false">IF(OR(D371="",F371="",G371=""),"",IF(F371+MAX(0,10-G371)&lt;=1,D371,D371*(1+(F371+MAX(0,10-G371))/30)))</f>
        <v/>
      </c>
      <c r="J371" s="16" t="str">
        <f aca="false">IF(A371="","",IF(AND(C371="yes",N(G371)&gt;=7),N(E371),0))</f>
        <v/>
      </c>
      <c r="K371" s="17" t="str">
        <f aca="false">IF(A371="","",A371-WEEKDAY(A371,3))</f>
        <v/>
      </c>
      <c r="L371" s="11"/>
    </row>
    <row r="372" customFormat="false" ht="15" hidden="false" customHeight="false" outlineLevel="0" collapsed="false">
      <c r="A372" s="10"/>
      <c r="B372" s="11"/>
      <c r="C372" s="11"/>
      <c r="D372" s="11"/>
      <c r="E372" s="11"/>
      <c r="F372" s="11"/>
      <c r="G372" s="11"/>
      <c r="H372" s="15" t="str">
        <f aca="false">IF(OR(D372="",F372=""),"",IF(F372&lt;=1,D372,D372*(1+F372/30)))</f>
        <v/>
      </c>
      <c r="I372" s="15" t="str">
        <f aca="false">IF(OR(D372="",F372="",G372=""),"",IF(F372+MAX(0,10-G372)&lt;=1,D372,D372*(1+(F372+MAX(0,10-G372))/30)))</f>
        <v/>
      </c>
      <c r="J372" s="16" t="str">
        <f aca="false">IF(A372="","",IF(AND(C372="yes",N(G372)&gt;=7),N(E372),0))</f>
        <v/>
      </c>
      <c r="K372" s="17" t="str">
        <f aca="false">IF(A372="","",A372-WEEKDAY(A372,3))</f>
        <v/>
      </c>
      <c r="L372" s="11"/>
    </row>
    <row r="373" customFormat="false" ht="15" hidden="false" customHeight="false" outlineLevel="0" collapsed="false">
      <c r="A373" s="10"/>
      <c r="B373" s="11"/>
      <c r="C373" s="11"/>
      <c r="D373" s="11"/>
      <c r="E373" s="11"/>
      <c r="F373" s="11"/>
      <c r="G373" s="11"/>
      <c r="H373" s="15" t="str">
        <f aca="false">IF(OR(D373="",F373=""),"",IF(F373&lt;=1,D373,D373*(1+F373/30)))</f>
        <v/>
      </c>
      <c r="I373" s="15" t="str">
        <f aca="false">IF(OR(D373="",F373="",G373=""),"",IF(F373+MAX(0,10-G373)&lt;=1,D373,D373*(1+(F373+MAX(0,10-G373))/30)))</f>
        <v/>
      </c>
      <c r="J373" s="16" t="str">
        <f aca="false">IF(A373="","",IF(AND(C373="yes",N(G373)&gt;=7),N(E373),0))</f>
        <v/>
      </c>
      <c r="K373" s="17" t="str">
        <f aca="false">IF(A373="","",A373-WEEKDAY(A373,3))</f>
        <v/>
      </c>
      <c r="L373" s="11"/>
    </row>
    <row r="374" customFormat="false" ht="15" hidden="false" customHeight="false" outlineLevel="0" collapsed="false">
      <c r="A374" s="10"/>
      <c r="B374" s="11"/>
      <c r="C374" s="11"/>
      <c r="D374" s="11"/>
      <c r="E374" s="11"/>
      <c r="F374" s="11"/>
      <c r="G374" s="11"/>
      <c r="H374" s="15" t="str">
        <f aca="false">IF(OR(D374="",F374=""),"",IF(F374&lt;=1,D374,D374*(1+F374/30)))</f>
        <v/>
      </c>
      <c r="I374" s="15" t="str">
        <f aca="false">IF(OR(D374="",F374="",G374=""),"",IF(F374+MAX(0,10-G374)&lt;=1,D374,D374*(1+(F374+MAX(0,10-G374))/30)))</f>
        <v/>
      </c>
      <c r="J374" s="16" t="str">
        <f aca="false">IF(A374="","",IF(AND(C374="yes",N(G374)&gt;=7),N(E374),0))</f>
        <v/>
      </c>
      <c r="K374" s="17" t="str">
        <f aca="false">IF(A374="","",A374-WEEKDAY(A374,3))</f>
        <v/>
      </c>
      <c r="L374" s="11"/>
    </row>
    <row r="375" customFormat="false" ht="15" hidden="false" customHeight="false" outlineLevel="0" collapsed="false">
      <c r="A375" s="10"/>
      <c r="B375" s="11"/>
      <c r="C375" s="11"/>
      <c r="D375" s="11"/>
      <c r="E375" s="11"/>
      <c r="F375" s="11"/>
      <c r="G375" s="11"/>
      <c r="H375" s="15" t="str">
        <f aca="false">IF(OR(D375="",F375=""),"",IF(F375&lt;=1,D375,D375*(1+F375/30)))</f>
        <v/>
      </c>
      <c r="I375" s="15" t="str">
        <f aca="false">IF(OR(D375="",F375="",G375=""),"",IF(F375+MAX(0,10-G375)&lt;=1,D375,D375*(1+(F375+MAX(0,10-G375))/30)))</f>
        <v/>
      </c>
      <c r="J375" s="16" t="str">
        <f aca="false">IF(A375="","",IF(AND(C375="yes",N(G375)&gt;=7),N(E375),0))</f>
        <v/>
      </c>
      <c r="K375" s="17" t="str">
        <f aca="false">IF(A375="","",A375-WEEKDAY(A375,3))</f>
        <v/>
      </c>
      <c r="L375" s="11"/>
    </row>
    <row r="376" customFormat="false" ht="15" hidden="false" customHeight="false" outlineLevel="0" collapsed="false">
      <c r="A376" s="10"/>
      <c r="B376" s="11"/>
      <c r="C376" s="11"/>
      <c r="D376" s="11"/>
      <c r="E376" s="11"/>
      <c r="F376" s="11"/>
      <c r="G376" s="11"/>
      <c r="H376" s="15" t="str">
        <f aca="false">IF(OR(D376="",F376=""),"",IF(F376&lt;=1,D376,D376*(1+F376/30)))</f>
        <v/>
      </c>
      <c r="I376" s="15" t="str">
        <f aca="false">IF(OR(D376="",F376="",G376=""),"",IF(F376+MAX(0,10-G376)&lt;=1,D376,D376*(1+(F376+MAX(0,10-G376))/30)))</f>
        <v/>
      </c>
      <c r="J376" s="16" t="str">
        <f aca="false">IF(A376="","",IF(AND(C376="yes",N(G376)&gt;=7),N(E376),0))</f>
        <v/>
      </c>
      <c r="K376" s="17" t="str">
        <f aca="false">IF(A376="","",A376-WEEKDAY(A376,3))</f>
        <v/>
      </c>
      <c r="L376" s="11"/>
    </row>
    <row r="377" customFormat="false" ht="15" hidden="false" customHeight="false" outlineLevel="0" collapsed="false">
      <c r="A377" s="10"/>
      <c r="B377" s="11"/>
      <c r="C377" s="11"/>
      <c r="D377" s="11"/>
      <c r="E377" s="11"/>
      <c r="F377" s="11"/>
      <c r="G377" s="11"/>
      <c r="H377" s="15" t="str">
        <f aca="false">IF(OR(D377="",F377=""),"",IF(F377&lt;=1,D377,D377*(1+F377/30)))</f>
        <v/>
      </c>
      <c r="I377" s="15" t="str">
        <f aca="false">IF(OR(D377="",F377="",G377=""),"",IF(F377+MAX(0,10-G377)&lt;=1,D377,D377*(1+(F377+MAX(0,10-G377))/30)))</f>
        <v/>
      </c>
      <c r="J377" s="16" t="str">
        <f aca="false">IF(A377="","",IF(AND(C377="yes",N(G377)&gt;=7),N(E377),0))</f>
        <v/>
      </c>
      <c r="K377" s="17" t="str">
        <f aca="false">IF(A377="","",A377-WEEKDAY(A377,3))</f>
        <v/>
      </c>
      <c r="L377" s="11"/>
    </row>
    <row r="378" customFormat="false" ht="15" hidden="false" customHeight="false" outlineLevel="0" collapsed="false">
      <c r="A378" s="10"/>
      <c r="B378" s="11"/>
      <c r="C378" s="11"/>
      <c r="D378" s="11"/>
      <c r="E378" s="11"/>
      <c r="F378" s="11"/>
      <c r="G378" s="11"/>
      <c r="H378" s="15" t="str">
        <f aca="false">IF(OR(D378="",F378=""),"",IF(F378&lt;=1,D378,D378*(1+F378/30)))</f>
        <v/>
      </c>
      <c r="I378" s="15" t="str">
        <f aca="false">IF(OR(D378="",F378="",G378=""),"",IF(F378+MAX(0,10-G378)&lt;=1,D378,D378*(1+(F378+MAX(0,10-G378))/30)))</f>
        <v/>
      </c>
      <c r="J378" s="16" t="str">
        <f aca="false">IF(A378="","",IF(AND(C378="yes",N(G378)&gt;=7),N(E378),0))</f>
        <v/>
      </c>
      <c r="K378" s="17" t="str">
        <f aca="false">IF(A378="","",A378-WEEKDAY(A378,3))</f>
        <v/>
      </c>
      <c r="L378" s="11"/>
    </row>
    <row r="379" customFormat="false" ht="15" hidden="false" customHeight="false" outlineLevel="0" collapsed="false">
      <c r="A379" s="10"/>
      <c r="B379" s="11"/>
      <c r="C379" s="11"/>
      <c r="D379" s="11"/>
      <c r="E379" s="11"/>
      <c r="F379" s="11"/>
      <c r="G379" s="11"/>
      <c r="H379" s="15" t="str">
        <f aca="false">IF(OR(D379="",F379=""),"",IF(F379&lt;=1,D379,D379*(1+F379/30)))</f>
        <v/>
      </c>
      <c r="I379" s="15" t="str">
        <f aca="false">IF(OR(D379="",F379="",G379=""),"",IF(F379+MAX(0,10-G379)&lt;=1,D379,D379*(1+(F379+MAX(0,10-G379))/30)))</f>
        <v/>
      </c>
      <c r="J379" s="16" t="str">
        <f aca="false">IF(A379="","",IF(AND(C379="yes",N(G379)&gt;=7),N(E379),0))</f>
        <v/>
      </c>
      <c r="K379" s="17" t="str">
        <f aca="false">IF(A379="","",A379-WEEKDAY(A379,3))</f>
        <v/>
      </c>
      <c r="L379" s="11"/>
    </row>
    <row r="380" customFormat="false" ht="15" hidden="false" customHeight="false" outlineLevel="0" collapsed="false">
      <c r="A380" s="10"/>
      <c r="B380" s="11"/>
      <c r="C380" s="11"/>
      <c r="D380" s="11"/>
      <c r="E380" s="11"/>
      <c r="F380" s="11"/>
      <c r="G380" s="11"/>
      <c r="H380" s="15" t="str">
        <f aca="false">IF(OR(D380="",F380=""),"",IF(F380&lt;=1,D380,D380*(1+F380/30)))</f>
        <v/>
      </c>
      <c r="I380" s="15" t="str">
        <f aca="false">IF(OR(D380="",F380="",G380=""),"",IF(F380+MAX(0,10-G380)&lt;=1,D380,D380*(1+(F380+MAX(0,10-G380))/30)))</f>
        <v/>
      </c>
      <c r="J380" s="16" t="str">
        <f aca="false">IF(A380="","",IF(AND(C380="yes",N(G380)&gt;=7),N(E380),0))</f>
        <v/>
      </c>
      <c r="K380" s="17" t="str">
        <f aca="false">IF(A380="","",A380-WEEKDAY(A380,3))</f>
        <v/>
      </c>
      <c r="L380" s="11"/>
    </row>
    <row r="381" customFormat="false" ht="15" hidden="false" customHeight="false" outlineLevel="0" collapsed="false">
      <c r="A381" s="10"/>
      <c r="B381" s="11"/>
      <c r="C381" s="11"/>
      <c r="D381" s="11"/>
      <c r="E381" s="11"/>
      <c r="F381" s="11"/>
      <c r="G381" s="11"/>
      <c r="H381" s="15" t="str">
        <f aca="false">IF(OR(D381="",F381=""),"",IF(F381&lt;=1,D381,D381*(1+F381/30)))</f>
        <v/>
      </c>
      <c r="I381" s="15" t="str">
        <f aca="false">IF(OR(D381="",F381="",G381=""),"",IF(F381+MAX(0,10-G381)&lt;=1,D381,D381*(1+(F381+MAX(0,10-G381))/30)))</f>
        <v/>
      </c>
      <c r="J381" s="16" t="str">
        <f aca="false">IF(A381="","",IF(AND(C381="yes",N(G381)&gt;=7),N(E381),0))</f>
        <v/>
      </c>
      <c r="K381" s="17" t="str">
        <f aca="false">IF(A381="","",A381-WEEKDAY(A381,3))</f>
        <v/>
      </c>
      <c r="L381" s="11"/>
    </row>
    <row r="382" customFormat="false" ht="15" hidden="false" customHeight="false" outlineLevel="0" collapsed="false">
      <c r="A382" s="10"/>
      <c r="B382" s="11"/>
      <c r="C382" s="11"/>
      <c r="D382" s="11"/>
      <c r="E382" s="11"/>
      <c r="F382" s="11"/>
      <c r="G382" s="11"/>
      <c r="H382" s="15" t="str">
        <f aca="false">IF(OR(D382="",F382=""),"",IF(F382&lt;=1,D382,D382*(1+F382/30)))</f>
        <v/>
      </c>
      <c r="I382" s="15" t="str">
        <f aca="false">IF(OR(D382="",F382="",G382=""),"",IF(F382+MAX(0,10-G382)&lt;=1,D382,D382*(1+(F382+MAX(0,10-G382))/30)))</f>
        <v/>
      </c>
      <c r="J382" s="16" t="str">
        <f aca="false">IF(A382="","",IF(AND(C382="yes",N(G382)&gt;=7),N(E382),0))</f>
        <v/>
      </c>
      <c r="K382" s="17" t="str">
        <f aca="false">IF(A382="","",A382-WEEKDAY(A382,3))</f>
        <v/>
      </c>
      <c r="L382" s="11"/>
    </row>
    <row r="383" customFormat="false" ht="15" hidden="false" customHeight="false" outlineLevel="0" collapsed="false">
      <c r="A383" s="10"/>
      <c r="B383" s="11"/>
      <c r="C383" s="11"/>
      <c r="D383" s="11"/>
      <c r="E383" s="11"/>
      <c r="F383" s="11"/>
      <c r="G383" s="11"/>
      <c r="H383" s="15" t="str">
        <f aca="false">IF(OR(D383="",F383=""),"",IF(F383&lt;=1,D383,D383*(1+F383/30)))</f>
        <v/>
      </c>
      <c r="I383" s="15" t="str">
        <f aca="false">IF(OR(D383="",F383="",G383=""),"",IF(F383+MAX(0,10-G383)&lt;=1,D383,D383*(1+(F383+MAX(0,10-G383))/30)))</f>
        <v/>
      </c>
      <c r="J383" s="16" t="str">
        <f aca="false">IF(A383="","",IF(AND(C383="yes",N(G383)&gt;=7),N(E383),0))</f>
        <v/>
      </c>
      <c r="K383" s="17" t="str">
        <f aca="false">IF(A383="","",A383-WEEKDAY(A383,3))</f>
        <v/>
      </c>
      <c r="L383" s="11"/>
    </row>
    <row r="384" customFormat="false" ht="15" hidden="false" customHeight="false" outlineLevel="0" collapsed="false">
      <c r="A384" s="10"/>
      <c r="B384" s="11"/>
      <c r="C384" s="11"/>
      <c r="D384" s="11"/>
      <c r="E384" s="11"/>
      <c r="F384" s="11"/>
      <c r="G384" s="11"/>
      <c r="H384" s="15" t="str">
        <f aca="false">IF(OR(D384="",F384=""),"",IF(F384&lt;=1,D384,D384*(1+F384/30)))</f>
        <v/>
      </c>
      <c r="I384" s="15" t="str">
        <f aca="false">IF(OR(D384="",F384="",G384=""),"",IF(F384+MAX(0,10-G384)&lt;=1,D384,D384*(1+(F384+MAX(0,10-G384))/30)))</f>
        <v/>
      </c>
      <c r="J384" s="16" t="str">
        <f aca="false">IF(A384="","",IF(AND(C384="yes",N(G384)&gt;=7),N(E384),0))</f>
        <v/>
      </c>
      <c r="K384" s="17" t="str">
        <f aca="false">IF(A384="","",A384-WEEKDAY(A384,3))</f>
        <v/>
      </c>
      <c r="L384" s="11"/>
    </row>
    <row r="385" customFormat="false" ht="15" hidden="false" customHeight="false" outlineLevel="0" collapsed="false">
      <c r="A385" s="10"/>
      <c r="B385" s="11"/>
      <c r="C385" s="11"/>
      <c r="D385" s="11"/>
      <c r="E385" s="11"/>
      <c r="F385" s="11"/>
      <c r="G385" s="11"/>
      <c r="H385" s="15" t="str">
        <f aca="false">IF(OR(D385="",F385=""),"",IF(F385&lt;=1,D385,D385*(1+F385/30)))</f>
        <v/>
      </c>
      <c r="I385" s="15" t="str">
        <f aca="false">IF(OR(D385="",F385="",G385=""),"",IF(F385+MAX(0,10-G385)&lt;=1,D385,D385*(1+(F385+MAX(0,10-G385))/30)))</f>
        <v/>
      </c>
      <c r="J385" s="16" t="str">
        <f aca="false">IF(A385="","",IF(AND(C385="yes",N(G385)&gt;=7),N(E385),0))</f>
        <v/>
      </c>
      <c r="K385" s="17" t="str">
        <f aca="false">IF(A385="","",A385-WEEKDAY(A385,3))</f>
        <v/>
      </c>
      <c r="L385" s="11"/>
    </row>
    <row r="386" customFormat="false" ht="15" hidden="false" customHeight="false" outlineLevel="0" collapsed="false">
      <c r="A386" s="10"/>
      <c r="B386" s="11"/>
      <c r="C386" s="11"/>
      <c r="D386" s="11"/>
      <c r="E386" s="11"/>
      <c r="F386" s="11"/>
      <c r="G386" s="11"/>
      <c r="H386" s="15" t="str">
        <f aca="false">IF(OR(D386="",F386=""),"",IF(F386&lt;=1,D386,D386*(1+F386/30)))</f>
        <v/>
      </c>
      <c r="I386" s="15" t="str">
        <f aca="false">IF(OR(D386="",F386="",G386=""),"",IF(F386+MAX(0,10-G386)&lt;=1,D386,D386*(1+(F386+MAX(0,10-G386))/30)))</f>
        <v/>
      </c>
      <c r="J386" s="16" t="str">
        <f aca="false">IF(A386="","",IF(AND(C386="yes",N(G386)&gt;=7),N(E386),0))</f>
        <v/>
      </c>
      <c r="K386" s="17" t="str">
        <f aca="false">IF(A386="","",A386-WEEKDAY(A386,3))</f>
        <v/>
      </c>
      <c r="L386" s="11"/>
    </row>
    <row r="387" customFormat="false" ht="15" hidden="false" customHeight="false" outlineLevel="0" collapsed="false">
      <c r="A387" s="10"/>
      <c r="B387" s="11"/>
      <c r="C387" s="11"/>
      <c r="D387" s="11"/>
      <c r="E387" s="11"/>
      <c r="F387" s="11"/>
      <c r="G387" s="11"/>
      <c r="H387" s="15" t="str">
        <f aca="false">IF(OR(D387="",F387=""),"",IF(F387&lt;=1,D387,D387*(1+F387/30)))</f>
        <v/>
      </c>
      <c r="I387" s="15" t="str">
        <f aca="false">IF(OR(D387="",F387="",G387=""),"",IF(F387+MAX(0,10-G387)&lt;=1,D387,D387*(1+(F387+MAX(0,10-G387))/30)))</f>
        <v/>
      </c>
      <c r="J387" s="16" t="str">
        <f aca="false">IF(A387="","",IF(AND(C387="yes",N(G387)&gt;=7),N(E387),0))</f>
        <v/>
      </c>
      <c r="K387" s="17" t="str">
        <f aca="false">IF(A387="","",A387-WEEKDAY(A387,3))</f>
        <v/>
      </c>
      <c r="L387" s="11"/>
    </row>
    <row r="388" customFormat="false" ht="15" hidden="false" customHeight="false" outlineLevel="0" collapsed="false">
      <c r="A388" s="10"/>
      <c r="B388" s="11"/>
      <c r="C388" s="11"/>
      <c r="D388" s="11"/>
      <c r="E388" s="11"/>
      <c r="F388" s="11"/>
      <c r="G388" s="11"/>
      <c r="H388" s="15" t="str">
        <f aca="false">IF(OR(D388="",F388=""),"",IF(F388&lt;=1,D388,D388*(1+F388/30)))</f>
        <v/>
      </c>
      <c r="I388" s="15" t="str">
        <f aca="false">IF(OR(D388="",F388="",G388=""),"",IF(F388+MAX(0,10-G388)&lt;=1,D388,D388*(1+(F388+MAX(0,10-G388))/30)))</f>
        <v/>
      </c>
      <c r="J388" s="16" t="str">
        <f aca="false">IF(A388="","",IF(AND(C388="yes",N(G388)&gt;=7),N(E388),0))</f>
        <v/>
      </c>
      <c r="K388" s="17" t="str">
        <f aca="false">IF(A388="","",A388-WEEKDAY(A388,3))</f>
        <v/>
      </c>
      <c r="L388" s="11"/>
    </row>
    <row r="389" customFormat="false" ht="15" hidden="false" customHeight="false" outlineLevel="0" collapsed="false">
      <c r="A389" s="10"/>
      <c r="B389" s="11"/>
      <c r="C389" s="11"/>
      <c r="D389" s="11"/>
      <c r="E389" s="11"/>
      <c r="F389" s="11"/>
      <c r="G389" s="11"/>
      <c r="H389" s="15" t="str">
        <f aca="false">IF(OR(D389="",F389=""),"",IF(F389&lt;=1,D389,D389*(1+F389/30)))</f>
        <v/>
      </c>
      <c r="I389" s="15" t="str">
        <f aca="false">IF(OR(D389="",F389="",G389=""),"",IF(F389+MAX(0,10-G389)&lt;=1,D389,D389*(1+(F389+MAX(0,10-G389))/30)))</f>
        <v/>
      </c>
      <c r="J389" s="16" t="str">
        <f aca="false">IF(A389="","",IF(AND(C389="yes",N(G389)&gt;=7),N(E389),0))</f>
        <v/>
      </c>
      <c r="K389" s="17" t="str">
        <f aca="false">IF(A389="","",A389-WEEKDAY(A389,3))</f>
        <v/>
      </c>
      <c r="L389" s="11"/>
    </row>
    <row r="390" customFormat="false" ht="15" hidden="false" customHeight="false" outlineLevel="0" collapsed="false">
      <c r="A390" s="10"/>
      <c r="B390" s="11"/>
      <c r="C390" s="11"/>
      <c r="D390" s="11"/>
      <c r="E390" s="11"/>
      <c r="F390" s="11"/>
      <c r="G390" s="11"/>
      <c r="H390" s="15" t="str">
        <f aca="false">IF(OR(D390="",F390=""),"",IF(F390&lt;=1,D390,D390*(1+F390/30)))</f>
        <v/>
      </c>
      <c r="I390" s="15" t="str">
        <f aca="false">IF(OR(D390="",F390="",G390=""),"",IF(F390+MAX(0,10-G390)&lt;=1,D390,D390*(1+(F390+MAX(0,10-G390))/30)))</f>
        <v/>
      </c>
      <c r="J390" s="16" t="str">
        <f aca="false">IF(A390="","",IF(AND(C390="yes",N(G390)&gt;=7),N(E390),0))</f>
        <v/>
      </c>
      <c r="K390" s="17" t="str">
        <f aca="false">IF(A390="","",A390-WEEKDAY(A390,3))</f>
        <v/>
      </c>
      <c r="L390" s="11"/>
    </row>
    <row r="391" customFormat="false" ht="15" hidden="false" customHeight="false" outlineLevel="0" collapsed="false">
      <c r="A391" s="10"/>
      <c r="B391" s="11"/>
      <c r="C391" s="11"/>
      <c r="D391" s="11"/>
      <c r="E391" s="11"/>
      <c r="F391" s="11"/>
      <c r="G391" s="11"/>
      <c r="H391" s="15" t="str">
        <f aca="false">IF(OR(D391="",F391=""),"",IF(F391&lt;=1,D391,D391*(1+F391/30)))</f>
        <v/>
      </c>
      <c r="I391" s="15" t="str">
        <f aca="false">IF(OR(D391="",F391="",G391=""),"",IF(F391+MAX(0,10-G391)&lt;=1,D391,D391*(1+(F391+MAX(0,10-G391))/30)))</f>
        <v/>
      </c>
      <c r="J391" s="16" t="str">
        <f aca="false">IF(A391="","",IF(AND(C391="yes",N(G391)&gt;=7),N(E391),0))</f>
        <v/>
      </c>
      <c r="K391" s="17" t="str">
        <f aca="false">IF(A391="","",A391-WEEKDAY(A391,3))</f>
        <v/>
      </c>
      <c r="L391" s="11"/>
    </row>
    <row r="392" customFormat="false" ht="15" hidden="false" customHeight="false" outlineLevel="0" collapsed="false">
      <c r="A392" s="10"/>
      <c r="B392" s="11"/>
      <c r="C392" s="11"/>
      <c r="D392" s="11"/>
      <c r="E392" s="11"/>
      <c r="F392" s="11"/>
      <c r="G392" s="11"/>
      <c r="H392" s="15" t="str">
        <f aca="false">IF(OR(D392="",F392=""),"",IF(F392&lt;=1,D392,D392*(1+F392/30)))</f>
        <v/>
      </c>
      <c r="I392" s="15" t="str">
        <f aca="false">IF(OR(D392="",F392="",G392=""),"",IF(F392+MAX(0,10-G392)&lt;=1,D392,D392*(1+(F392+MAX(0,10-G392))/30)))</f>
        <v/>
      </c>
      <c r="J392" s="16" t="str">
        <f aca="false">IF(A392="","",IF(AND(C392="yes",N(G392)&gt;=7),N(E392),0))</f>
        <v/>
      </c>
      <c r="K392" s="17" t="str">
        <f aca="false">IF(A392="","",A392-WEEKDAY(A392,3))</f>
        <v/>
      </c>
      <c r="L392" s="11"/>
    </row>
    <row r="393" customFormat="false" ht="15" hidden="false" customHeight="false" outlineLevel="0" collapsed="false">
      <c r="A393" s="10"/>
      <c r="B393" s="11"/>
      <c r="C393" s="11"/>
      <c r="D393" s="11"/>
      <c r="E393" s="11"/>
      <c r="F393" s="11"/>
      <c r="G393" s="11"/>
      <c r="H393" s="15" t="str">
        <f aca="false">IF(OR(D393="",F393=""),"",IF(F393&lt;=1,D393,D393*(1+F393/30)))</f>
        <v/>
      </c>
      <c r="I393" s="15" t="str">
        <f aca="false">IF(OR(D393="",F393="",G393=""),"",IF(F393+MAX(0,10-G393)&lt;=1,D393,D393*(1+(F393+MAX(0,10-G393))/30)))</f>
        <v/>
      </c>
      <c r="J393" s="16" t="str">
        <f aca="false">IF(A393="","",IF(AND(C393="yes",N(G393)&gt;=7),N(E393),0))</f>
        <v/>
      </c>
      <c r="K393" s="17" t="str">
        <f aca="false">IF(A393="","",A393-WEEKDAY(A393,3))</f>
        <v/>
      </c>
      <c r="L393" s="11"/>
    </row>
    <row r="394" customFormat="false" ht="15" hidden="false" customHeight="false" outlineLevel="0" collapsed="false">
      <c r="A394" s="10"/>
      <c r="B394" s="11"/>
      <c r="C394" s="11"/>
      <c r="D394" s="11"/>
      <c r="E394" s="11"/>
      <c r="F394" s="11"/>
      <c r="G394" s="11"/>
      <c r="H394" s="15" t="str">
        <f aca="false">IF(OR(D394="",F394=""),"",IF(F394&lt;=1,D394,D394*(1+F394/30)))</f>
        <v/>
      </c>
      <c r="I394" s="15" t="str">
        <f aca="false">IF(OR(D394="",F394="",G394=""),"",IF(F394+MAX(0,10-G394)&lt;=1,D394,D394*(1+(F394+MAX(0,10-G394))/30)))</f>
        <v/>
      </c>
      <c r="J394" s="16" t="str">
        <f aca="false">IF(A394="","",IF(AND(C394="yes",N(G394)&gt;=7),N(E394),0))</f>
        <v/>
      </c>
      <c r="K394" s="17" t="str">
        <f aca="false">IF(A394="","",A394-WEEKDAY(A394,3))</f>
        <v/>
      </c>
      <c r="L394" s="11"/>
    </row>
    <row r="395" customFormat="false" ht="15" hidden="false" customHeight="false" outlineLevel="0" collapsed="false">
      <c r="A395" s="10"/>
      <c r="B395" s="11"/>
      <c r="C395" s="11"/>
      <c r="D395" s="11"/>
      <c r="E395" s="11"/>
      <c r="F395" s="11"/>
      <c r="G395" s="11"/>
      <c r="H395" s="15" t="str">
        <f aca="false">IF(OR(D395="",F395=""),"",IF(F395&lt;=1,D395,D395*(1+F395/30)))</f>
        <v/>
      </c>
      <c r="I395" s="15" t="str">
        <f aca="false">IF(OR(D395="",F395="",G395=""),"",IF(F395+MAX(0,10-G395)&lt;=1,D395,D395*(1+(F395+MAX(0,10-G395))/30)))</f>
        <v/>
      </c>
      <c r="J395" s="16" t="str">
        <f aca="false">IF(A395="","",IF(AND(C395="yes",N(G395)&gt;=7),N(E395),0))</f>
        <v/>
      </c>
      <c r="K395" s="17" t="str">
        <f aca="false">IF(A395="","",A395-WEEKDAY(A395,3))</f>
        <v/>
      </c>
      <c r="L395" s="11"/>
    </row>
    <row r="396" customFormat="false" ht="15" hidden="false" customHeight="false" outlineLevel="0" collapsed="false">
      <c r="A396" s="10"/>
      <c r="B396" s="11"/>
      <c r="C396" s="11"/>
      <c r="D396" s="11"/>
      <c r="E396" s="11"/>
      <c r="F396" s="11"/>
      <c r="G396" s="11"/>
      <c r="H396" s="15" t="str">
        <f aca="false">IF(OR(D396="",F396=""),"",IF(F396&lt;=1,D396,D396*(1+F396/30)))</f>
        <v/>
      </c>
      <c r="I396" s="15" t="str">
        <f aca="false">IF(OR(D396="",F396="",G396=""),"",IF(F396+MAX(0,10-G396)&lt;=1,D396,D396*(1+(F396+MAX(0,10-G396))/30)))</f>
        <v/>
      </c>
      <c r="J396" s="16" t="str">
        <f aca="false">IF(A396="","",IF(AND(C396="yes",N(G396)&gt;=7),N(E396),0))</f>
        <v/>
      </c>
      <c r="K396" s="17" t="str">
        <f aca="false">IF(A396="","",A396-WEEKDAY(A396,3))</f>
        <v/>
      </c>
      <c r="L396" s="11"/>
    </row>
    <row r="397" customFormat="false" ht="15" hidden="false" customHeight="false" outlineLevel="0" collapsed="false">
      <c r="A397" s="10"/>
      <c r="B397" s="11"/>
      <c r="C397" s="11"/>
      <c r="D397" s="11"/>
      <c r="E397" s="11"/>
      <c r="F397" s="11"/>
      <c r="G397" s="11"/>
      <c r="H397" s="15" t="str">
        <f aca="false">IF(OR(D397="",F397=""),"",IF(F397&lt;=1,D397,D397*(1+F397/30)))</f>
        <v/>
      </c>
      <c r="I397" s="15" t="str">
        <f aca="false">IF(OR(D397="",F397="",G397=""),"",IF(F397+MAX(0,10-G397)&lt;=1,D397,D397*(1+(F397+MAX(0,10-G397))/30)))</f>
        <v/>
      </c>
      <c r="J397" s="16" t="str">
        <f aca="false">IF(A397="","",IF(AND(C397="yes",N(G397)&gt;=7),N(E397),0))</f>
        <v/>
      </c>
      <c r="K397" s="17" t="str">
        <f aca="false">IF(A397="","",A397-WEEKDAY(A397,3))</f>
        <v/>
      </c>
      <c r="L397" s="11"/>
    </row>
    <row r="398" customFormat="false" ht="15" hidden="false" customHeight="false" outlineLevel="0" collapsed="false">
      <c r="A398" s="10"/>
      <c r="B398" s="11"/>
      <c r="C398" s="11"/>
      <c r="D398" s="11"/>
      <c r="E398" s="11"/>
      <c r="F398" s="11"/>
      <c r="G398" s="11"/>
      <c r="H398" s="15" t="str">
        <f aca="false">IF(OR(D398="",F398=""),"",IF(F398&lt;=1,D398,D398*(1+F398/30)))</f>
        <v/>
      </c>
      <c r="I398" s="15" t="str">
        <f aca="false">IF(OR(D398="",F398="",G398=""),"",IF(F398+MAX(0,10-G398)&lt;=1,D398,D398*(1+(F398+MAX(0,10-G398))/30)))</f>
        <v/>
      </c>
      <c r="J398" s="16" t="str">
        <f aca="false">IF(A398="","",IF(AND(C398="yes",N(G398)&gt;=7),N(E398),0))</f>
        <v/>
      </c>
      <c r="K398" s="17" t="str">
        <f aca="false">IF(A398="","",A398-WEEKDAY(A398,3))</f>
        <v/>
      </c>
      <c r="L398" s="11"/>
    </row>
    <row r="399" customFormat="false" ht="15" hidden="false" customHeight="false" outlineLevel="0" collapsed="false">
      <c r="A399" s="10"/>
      <c r="B399" s="11"/>
      <c r="C399" s="11"/>
      <c r="D399" s="11"/>
      <c r="E399" s="11"/>
      <c r="F399" s="11"/>
      <c r="G399" s="11"/>
      <c r="H399" s="15" t="str">
        <f aca="false">IF(OR(D399="",F399=""),"",IF(F399&lt;=1,D399,D399*(1+F399/30)))</f>
        <v/>
      </c>
      <c r="I399" s="15" t="str">
        <f aca="false">IF(OR(D399="",F399="",G399=""),"",IF(F399+MAX(0,10-G399)&lt;=1,D399,D399*(1+(F399+MAX(0,10-G399))/30)))</f>
        <v/>
      </c>
      <c r="J399" s="16" t="str">
        <f aca="false">IF(A399="","",IF(AND(C399="yes",N(G399)&gt;=7),N(E399),0))</f>
        <v/>
      </c>
      <c r="K399" s="17" t="str">
        <f aca="false">IF(A399="","",A399-WEEKDAY(A399,3))</f>
        <v/>
      </c>
      <c r="L399" s="11"/>
    </row>
    <row r="400" customFormat="false" ht="15" hidden="false" customHeight="false" outlineLevel="0" collapsed="false">
      <c r="A400" s="10"/>
      <c r="B400" s="11"/>
      <c r="C400" s="11"/>
      <c r="D400" s="11"/>
      <c r="E400" s="11"/>
      <c r="F400" s="11"/>
      <c r="G400" s="11"/>
      <c r="H400" s="15" t="str">
        <f aca="false">IF(OR(D400="",F400=""),"",IF(F400&lt;=1,D400,D400*(1+F400/30)))</f>
        <v/>
      </c>
      <c r="I400" s="15" t="str">
        <f aca="false">IF(OR(D400="",F400="",G400=""),"",IF(F400+MAX(0,10-G400)&lt;=1,D400,D400*(1+(F400+MAX(0,10-G400))/30)))</f>
        <v/>
      </c>
      <c r="J400" s="16" t="str">
        <f aca="false">IF(A400="","",IF(AND(C400="yes",N(G400)&gt;=7),N(E400),0))</f>
        <v/>
      </c>
      <c r="K400" s="17" t="str">
        <f aca="false">IF(A400="","",A400-WEEKDAY(A400,3))</f>
        <v/>
      </c>
      <c r="L400" s="11"/>
    </row>
    <row r="401" customFormat="false" ht="15" hidden="false" customHeight="false" outlineLevel="0" collapsed="false">
      <c r="A401" s="10"/>
      <c r="B401" s="11"/>
      <c r="C401" s="11"/>
      <c r="D401" s="11"/>
      <c r="E401" s="11"/>
      <c r="F401" s="11"/>
      <c r="G401" s="11"/>
      <c r="H401" s="15" t="str">
        <f aca="false">IF(OR(D401="",F401=""),"",IF(F401&lt;=1,D401,D401*(1+F401/30)))</f>
        <v/>
      </c>
      <c r="I401" s="15" t="str">
        <f aca="false">IF(OR(D401="",F401="",G401=""),"",IF(F401+MAX(0,10-G401)&lt;=1,D401,D401*(1+(F401+MAX(0,10-G401))/30)))</f>
        <v/>
      </c>
      <c r="J401" s="16" t="str">
        <f aca="false">IF(A401="","",IF(AND(C401="yes",N(G401)&gt;=7),N(E401),0))</f>
        <v/>
      </c>
      <c r="K401" s="17" t="str">
        <f aca="false">IF(A401="","",A401-WEEKDAY(A401,3))</f>
        <v/>
      </c>
      <c r="L401" s="11"/>
    </row>
    <row r="402" customFormat="false" ht="15" hidden="false" customHeight="false" outlineLevel="0" collapsed="false">
      <c r="A402" s="10"/>
      <c r="B402" s="11"/>
      <c r="C402" s="11"/>
      <c r="D402" s="11"/>
      <c r="E402" s="11"/>
      <c r="F402" s="11"/>
      <c r="G402" s="11"/>
      <c r="H402" s="15" t="str">
        <f aca="false">IF(OR(D402="",F402=""),"",IF(F402&lt;=1,D402,D402*(1+F402/30)))</f>
        <v/>
      </c>
      <c r="I402" s="15" t="str">
        <f aca="false">IF(OR(D402="",F402="",G402=""),"",IF(F402+MAX(0,10-G402)&lt;=1,D402,D402*(1+(F402+MAX(0,10-G402))/30)))</f>
        <v/>
      </c>
      <c r="J402" s="16" t="str">
        <f aca="false">IF(A402="","",IF(AND(C402="yes",N(G402)&gt;=7),N(E402),0))</f>
        <v/>
      </c>
      <c r="K402" s="17" t="str">
        <f aca="false">IF(A402="","",A402-WEEKDAY(A402,3))</f>
        <v/>
      </c>
      <c r="L402" s="11"/>
    </row>
    <row r="403" customFormat="false" ht="15" hidden="false" customHeight="false" outlineLevel="0" collapsed="false">
      <c r="A403" s="10"/>
      <c r="B403" s="11"/>
      <c r="C403" s="11"/>
      <c r="D403" s="11"/>
      <c r="E403" s="11"/>
      <c r="F403" s="11"/>
      <c r="G403" s="11"/>
      <c r="H403" s="15" t="str">
        <f aca="false">IF(OR(D403="",F403=""),"",IF(F403&lt;=1,D403,D403*(1+F403/30)))</f>
        <v/>
      </c>
      <c r="I403" s="15" t="str">
        <f aca="false">IF(OR(D403="",F403="",G403=""),"",IF(F403+MAX(0,10-G403)&lt;=1,D403,D403*(1+(F403+MAX(0,10-G403))/30)))</f>
        <v/>
      </c>
      <c r="J403" s="16" t="str">
        <f aca="false">IF(A403="","",IF(AND(C403="yes",N(G403)&gt;=7),N(E403),0))</f>
        <v/>
      </c>
      <c r="K403" s="17" t="str">
        <f aca="false">IF(A403="","",A403-WEEKDAY(A403,3))</f>
        <v/>
      </c>
      <c r="L403" s="11"/>
    </row>
    <row r="404" customFormat="false" ht="15" hidden="false" customHeight="false" outlineLevel="0" collapsed="false">
      <c r="A404" s="10"/>
      <c r="B404" s="11"/>
      <c r="C404" s="11"/>
      <c r="D404" s="11"/>
      <c r="E404" s="11"/>
      <c r="F404" s="11"/>
      <c r="G404" s="11"/>
      <c r="H404" s="15" t="str">
        <f aca="false">IF(OR(D404="",F404=""),"",IF(F404&lt;=1,D404,D404*(1+F404/30)))</f>
        <v/>
      </c>
      <c r="I404" s="15" t="str">
        <f aca="false">IF(OR(D404="",F404="",G404=""),"",IF(F404+MAX(0,10-G404)&lt;=1,D404,D404*(1+(F404+MAX(0,10-G404))/30)))</f>
        <v/>
      </c>
      <c r="J404" s="16" t="str">
        <f aca="false">IF(A404="","",IF(AND(C404="yes",N(G404)&gt;=7),N(E404),0))</f>
        <v/>
      </c>
      <c r="K404" s="17" t="str">
        <f aca="false">IF(A404="","",A404-WEEKDAY(A404,3))</f>
        <v/>
      </c>
      <c r="L404" s="11"/>
    </row>
    <row r="405" customFormat="false" ht="15" hidden="false" customHeight="false" outlineLevel="0" collapsed="false">
      <c r="A405" s="10"/>
      <c r="B405" s="11"/>
      <c r="C405" s="11"/>
      <c r="D405" s="11"/>
      <c r="E405" s="11"/>
      <c r="F405" s="11"/>
      <c r="G405" s="11"/>
      <c r="H405" s="15" t="str">
        <f aca="false">IF(OR(D405="",F405=""),"",IF(F405&lt;=1,D405,D405*(1+F405/30)))</f>
        <v/>
      </c>
      <c r="I405" s="15" t="str">
        <f aca="false">IF(OR(D405="",F405="",G405=""),"",IF(F405+MAX(0,10-G405)&lt;=1,D405,D405*(1+(F405+MAX(0,10-G405))/30)))</f>
        <v/>
      </c>
      <c r="J405" s="16" t="str">
        <f aca="false">IF(A405="","",IF(AND(C405="yes",N(G405)&gt;=7),N(E405),0))</f>
        <v/>
      </c>
      <c r="K405" s="17" t="str">
        <f aca="false">IF(A405="","",A405-WEEKDAY(A405,3))</f>
        <v/>
      </c>
      <c r="L405" s="11"/>
    </row>
    <row r="406" customFormat="false" ht="15" hidden="false" customHeight="false" outlineLevel="0" collapsed="false">
      <c r="A406" s="10"/>
      <c r="B406" s="11"/>
      <c r="C406" s="11"/>
      <c r="D406" s="11"/>
      <c r="E406" s="11"/>
      <c r="F406" s="11"/>
      <c r="G406" s="11"/>
      <c r="H406" s="15" t="str">
        <f aca="false">IF(OR(D406="",F406=""),"",IF(F406&lt;=1,D406,D406*(1+F406/30)))</f>
        <v/>
      </c>
      <c r="I406" s="15" t="str">
        <f aca="false">IF(OR(D406="",F406="",G406=""),"",IF(F406+MAX(0,10-G406)&lt;=1,D406,D406*(1+(F406+MAX(0,10-G406))/30)))</f>
        <v/>
      </c>
      <c r="J406" s="16" t="str">
        <f aca="false">IF(A406="","",IF(AND(C406="yes",N(G406)&gt;=7),N(E406),0))</f>
        <v/>
      </c>
      <c r="K406" s="17" t="str">
        <f aca="false">IF(A406="","",A406-WEEKDAY(A406,3))</f>
        <v/>
      </c>
      <c r="L406" s="11"/>
    </row>
    <row r="407" customFormat="false" ht="15" hidden="false" customHeight="false" outlineLevel="0" collapsed="false">
      <c r="A407" s="10"/>
      <c r="B407" s="11"/>
      <c r="C407" s="11"/>
      <c r="D407" s="11"/>
      <c r="E407" s="11"/>
      <c r="F407" s="11"/>
      <c r="G407" s="11"/>
      <c r="H407" s="15" t="str">
        <f aca="false">IF(OR(D407="",F407=""),"",IF(F407&lt;=1,D407,D407*(1+F407/30)))</f>
        <v/>
      </c>
      <c r="I407" s="15" t="str">
        <f aca="false">IF(OR(D407="",F407="",G407=""),"",IF(F407+MAX(0,10-G407)&lt;=1,D407,D407*(1+(F407+MAX(0,10-G407))/30)))</f>
        <v/>
      </c>
      <c r="J407" s="16" t="str">
        <f aca="false">IF(A407="","",IF(AND(C407="yes",N(G407)&gt;=7),N(E407),0))</f>
        <v/>
      </c>
      <c r="K407" s="17" t="str">
        <f aca="false">IF(A407="","",A407-WEEKDAY(A407,3))</f>
        <v/>
      </c>
      <c r="L407" s="11"/>
    </row>
    <row r="408" customFormat="false" ht="15" hidden="false" customHeight="false" outlineLevel="0" collapsed="false">
      <c r="A408" s="10"/>
      <c r="B408" s="11"/>
      <c r="C408" s="11"/>
      <c r="D408" s="11"/>
      <c r="E408" s="11"/>
      <c r="F408" s="11"/>
      <c r="G408" s="11"/>
      <c r="H408" s="15" t="str">
        <f aca="false">IF(OR(D408="",F408=""),"",IF(F408&lt;=1,D408,D408*(1+F408/30)))</f>
        <v/>
      </c>
      <c r="I408" s="15" t="str">
        <f aca="false">IF(OR(D408="",F408="",G408=""),"",IF(F408+MAX(0,10-G408)&lt;=1,D408,D408*(1+(F408+MAX(0,10-G408))/30)))</f>
        <v/>
      </c>
      <c r="J408" s="16" t="str">
        <f aca="false">IF(A408="","",IF(AND(C408="yes",N(G408)&gt;=7),N(E408),0))</f>
        <v/>
      </c>
      <c r="K408" s="17" t="str">
        <f aca="false">IF(A408="","",A408-WEEKDAY(A408,3))</f>
        <v/>
      </c>
      <c r="L408" s="11"/>
    </row>
    <row r="409" customFormat="false" ht="15" hidden="false" customHeight="false" outlineLevel="0" collapsed="false">
      <c r="A409" s="10"/>
      <c r="B409" s="11"/>
      <c r="C409" s="11"/>
      <c r="D409" s="11"/>
      <c r="E409" s="11"/>
      <c r="F409" s="11"/>
      <c r="G409" s="11"/>
      <c r="H409" s="15" t="str">
        <f aca="false">IF(OR(D409="",F409=""),"",IF(F409&lt;=1,D409,D409*(1+F409/30)))</f>
        <v/>
      </c>
      <c r="I409" s="15" t="str">
        <f aca="false">IF(OR(D409="",F409="",G409=""),"",IF(F409+MAX(0,10-G409)&lt;=1,D409,D409*(1+(F409+MAX(0,10-G409))/30)))</f>
        <v/>
      </c>
      <c r="J409" s="16" t="str">
        <f aca="false">IF(A409="","",IF(AND(C409="yes",N(G409)&gt;=7),N(E409),0))</f>
        <v/>
      </c>
      <c r="K409" s="17" t="str">
        <f aca="false">IF(A409="","",A409-WEEKDAY(A409,3))</f>
        <v/>
      </c>
      <c r="L409" s="11"/>
    </row>
    <row r="410" customFormat="false" ht="15" hidden="false" customHeight="false" outlineLevel="0" collapsed="false">
      <c r="A410" s="10"/>
      <c r="B410" s="11"/>
      <c r="C410" s="11"/>
      <c r="D410" s="11"/>
      <c r="E410" s="11"/>
      <c r="F410" s="11"/>
      <c r="G410" s="11"/>
      <c r="H410" s="15" t="str">
        <f aca="false">IF(OR(D410="",F410=""),"",IF(F410&lt;=1,D410,D410*(1+F410/30)))</f>
        <v/>
      </c>
      <c r="I410" s="15" t="str">
        <f aca="false">IF(OR(D410="",F410="",G410=""),"",IF(F410+MAX(0,10-G410)&lt;=1,D410,D410*(1+(F410+MAX(0,10-G410))/30)))</f>
        <v/>
      </c>
      <c r="J410" s="16" t="str">
        <f aca="false">IF(A410="","",IF(AND(C410="yes",N(G410)&gt;=7),N(E410),0))</f>
        <v/>
      </c>
      <c r="K410" s="17" t="str">
        <f aca="false">IF(A410="","",A410-WEEKDAY(A410,3))</f>
        <v/>
      </c>
      <c r="L410" s="11"/>
    </row>
    <row r="411" customFormat="false" ht="15" hidden="false" customHeight="false" outlineLevel="0" collapsed="false">
      <c r="A411" s="10"/>
      <c r="B411" s="11"/>
      <c r="C411" s="11"/>
      <c r="D411" s="11"/>
      <c r="E411" s="11"/>
      <c r="F411" s="11"/>
      <c r="G411" s="11"/>
      <c r="H411" s="15" t="str">
        <f aca="false">IF(OR(D411="",F411=""),"",IF(F411&lt;=1,D411,D411*(1+F411/30)))</f>
        <v/>
      </c>
      <c r="I411" s="15" t="str">
        <f aca="false">IF(OR(D411="",F411="",G411=""),"",IF(F411+MAX(0,10-G411)&lt;=1,D411,D411*(1+(F411+MAX(0,10-G411))/30)))</f>
        <v/>
      </c>
      <c r="J411" s="16" t="str">
        <f aca="false">IF(A411="","",IF(AND(C411="yes",N(G411)&gt;=7),N(E411),0))</f>
        <v/>
      </c>
      <c r="K411" s="17" t="str">
        <f aca="false">IF(A411="","",A411-WEEKDAY(A411,3))</f>
        <v/>
      </c>
      <c r="L411" s="11"/>
    </row>
    <row r="412" customFormat="false" ht="15" hidden="false" customHeight="false" outlineLevel="0" collapsed="false">
      <c r="A412" s="10"/>
      <c r="B412" s="11"/>
      <c r="C412" s="11"/>
      <c r="D412" s="11"/>
      <c r="E412" s="11"/>
      <c r="F412" s="11"/>
      <c r="G412" s="11"/>
      <c r="H412" s="15" t="str">
        <f aca="false">IF(OR(D412="",F412=""),"",IF(F412&lt;=1,D412,D412*(1+F412/30)))</f>
        <v/>
      </c>
      <c r="I412" s="15" t="str">
        <f aca="false">IF(OR(D412="",F412="",G412=""),"",IF(F412+MAX(0,10-G412)&lt;=1,D412,D412*(1+(F412+MAX(0,10-G412))/30)))</f>
        <v/>
      </c>
      <c r="J412" s="16" t="str">
        <f aca="false">IF(A412="","",IF(AND(C412="yes",N(G412)&gt;=7),N(E412),0))</f>
        <v/>
      </c>
      <c r="K412" s="17" t="str">
        <f aca="false">IF(A412="","",A412-WEEKDAY(A412,3))</f>
        <v/>
      </c>
      <c r="L412" s="11"/>
    </row>
    <row r="413" customFormat="false" ht="15" hidden="false" customHeight="false" outlineLevel="0" collapsed="false">
      <c r="A413" s="10"/>
      <c r="B413" s="11"/>
      <c r="C413" s="11"/>
      <c r="D413" s="11"/>
      <c r="E413" s="11"/>
      <c r="F413" s="11"/>
      <c r="G413" s="11"/>
      <c r="H413" s="15" t="str">
        <f aca="false">IF(OR(D413="",F413=""),"",IF(F413&lt;=1,D413,D413*(1+F413/30)))</f>
        <v/>
      </c>
      <c r="I413" s="15" t="str">
        <f aca="false">IF(OR(D413="",F413="",G413=""),"",IF(F413+MAX(0,10-G413)&lt;=1,D413,D413*(1+(F413+MAX(0,10-G413))/30)))</f>
        <v/>
      </c>
      <c r="J413" s="16" t="str">
        <f aca="false">IF(A413="","",IF(AND(C413="yes",N(G413)&gt;=7),N(E413),0))</f>
        <v/>
      </c>
      <c r="K413" s="17" t="str">
        <f aca="false">IF(A413="","",A413-WEEKDAY(A413,3))</f>
        <v/>
      </c>
      <c r="L413" s="11"/>
    </row>
    <row r="414" customFormat="false" ht="15" hidden="false" customHeight="false" outlineLevel="0" collapsed="false">
      <c r="A414" s="10"/>
      <c r="B414" s="11"/>
      <c r="C414" s="11"/>
      <c r="D414" s="11"/>
      <c r="E414" s="11"/>
      <c r="F414" s="11"/>
      <c r="G414" s="11"/>
      <c r="H414" s="15" t="str">
        <f aca="false">IF(OR(D414="",F414=""),"",IF(F414&lt;=1,D414,D414*(1+F414/30)))</f>
        <v/>
      </c>
      <c r="I414" s="15" t="str">
        <f aca="false">IF(OR(D414="",F414="",G414=""),"",IF(F414+MAX(0,10-G414)&lt;=1,D414,D414*(1+(F414+MAX(0,10-G414))/30)))</f>
        <v/>
      </c>
      <c r="J414" s="16" t="str">
        <f aca="false">IF(A414="","",IF(AND(C414="yes",N(G414)&gt;=7),N(E414),0))</f>
        <v/>
      </c>
      <c r="K414" s="17" t="str">
        <f aca="false">IF(A414="","",A414-WEEKDAY(A414,3))</f>
        <v/>
      </c>
      <c r="L414" s="11"/>
    </row>
    <row r="415" customFormat="false" ht="15" hidden="false" customHeight="false" outlineLevel="0" collapsed="false">
      <c r="A415" s="10"/>
      <c r="B415" s="11"/>
      <c r="C415" s="11"/>
      <c r="D415" s="11"/>
      <c r="E415" s="11"/>
      <c r="F415" s="11"/>
      <c r="G415" s="11"/>
      <c r="H415" s="15" t="str">
        <f aca="false">IF(OR(D415="",F415=""),"",IF(F415&lt;=1,D415,D415*(1+F415/30)))</f>
        <v/>
      </c>
      <c r="I415" s="15" t="str">
        <f aca="false">IF(OR(D415="",F415="",G415=""),"",IF(F415+MAX(0,10-G415)&lt;=1,D415,D415*(1+(F415+MAX(0,10-G415))/30)))</f>
        <v/>
      </c>
      <c r="J415" s="16" t="str">
        <f aca="false">IF(A415="","",IF(AND(C415="yes",N(G415)&gt;=7),N(E415),0))</f>
        <v/>
      </c>
      <c r="K415" s="17" t="str">
        <f aca="false">IF(A415="","",A415-WEEKDAY(A415,3))</f>
        <v/>
      </c>
      <c r="L415" s="11"/>
    </row>
    <row r="416" customFormat="false" ht="15" hidden="false" customHeight="false" outlineLevel="0" collapsed="false">
      <c r="A416" s="10"/>
      <c r="B416" s="11"/>
      <c r="C416" s="11"/>
      <c r="D416" s="11"/>
      <c r="E416" s="11"/>
      <c r="F416" s="11"/>
      <c r="G416" s="11"/>
      <c r="H416" s="15" t="str">
        <f aca="false">IF(OR(D416="",F416=""),"",IF(F416&lt;=1,D416,D416*(1+F416/30)))</f>
        <v/>
      </c>
      <c r="I416" s="15" t="str">
        <f aca="false">IF(OR(D416="",F416="",G416=""),"",IF(F416+MAX(0,10-G416)&lt;=1,D416,D416*(1+(F416+MAX(0,10-G416))/30)))</f>
        <v/>
      </c>
      <c r="J416" s="16" t="str">
        <f aca="false">IF(A416="","",IF(AND(C416="yes",N(G416)&gt;=7),N(E416),0))</f>
        <v/>
      </c>
      <c r="K416" s="17" t="str">
        <f aca="false">IF(A416="","",A416-WEEKDAY(A416,3))</f>
        <v/>
      </c>
      <c r="L416" s="11"/>
    </row>
    <row r="417" customFormat="false" ht="15" hidden="false" customHeight="false" outlineLevel="0" collapsed="false">
      <c r="A417" s="10"/>
      <c r="B417" s="11"/>
      <c r="C417" s="11"/>
      <c r="D417" s="11"/>
      <c r="E417" s="11"/>
      <c r="F417" s="11"/>
      <c r="G417" s="11"/>
      <c r="H417" s="15" t="str">
        <f aca="false">IF(OR(D417="",F417=""),"",IF(F417&lt;=1,D417,D417*(1+F417/30)))</f>
        <v/>
      </c>
      <c r="I417" s="15" t="str">
        <f aca="false">IF(OR(D417="",F417="",G417=""),"",IF(F417+MAX(0,10-G417)&lt;=1,D417,D417*(1+(F417+MAX(0,10-G417))/30)))</f>
        <v/>
      </c>
      <c r="J417" s="16" t="str">
        <f aca="false">IF(A417="","",IF(AND(C417="yes",N(G417)&gt;=7),N(E417),0))</f>
        <v/>
      </c>
      <c r="K417" s="17" t="str">
        <f aca="false">IF(A417="","",A417-WEEKDAY(A417,3))</f>
        <v/>
      </c>
      <c r="L417" s="11"/>
    </row>
    <row r="418" customFormat="false" ht="15" hidden="false" customHeight="false" outlineLevel="0" collapsed="false">
      <c r="A418" s="10"/>
      <c r="B418" s="11"/>
      <c r="C418" s="11"/>
      <c r="D418" s="11"/>
      <c r="E418" s="11"/>
      <c r="F418" s="11"/>
      <c r="G418" s="11"/>
      <c r="H418" s="15" t="str">
        <f aca="false">IF(OR(D418="",F418=""),"",IF(F418&lt;=1,D418,D418*(1+F418/30)))</f>
        <v/>
      </c>
      <c r="I418" s="15" t="str">
        <f aca="false">IF(OR(D418="",F418="",G418=""),"",IF(F418+MAX(0,10-G418)&lt;=1,D418,D418*(1+(F418+MAX(0,10-G418))/30)))</f>
        <v/>
      </c>
      <c r="J418" s="16" t="str">
        <f aca="false">IF(A418="","",IF(AND(C418="yes",N(G418)&gt;=7),N(E418),0))</f>
        <v/>
      </c>
      <c r="K418" s="17" t="str">
        <f aca="false">IF(A418="","",A418-WEEKDAY(A418,3))</f>
        <v/>
      </c>
      <c r="L418" s="11"/>
    </row>
    <row r="419" customFormat="false" ht="15" hidden="false" customHeight="false" outlineLevel="0" collapsed="false">
      <c r="A419" s="10"/>
      <c r="B419" s="11"/>
      <c r="C419" s="11"/>
      <c r="D419" s="11"/>
      <c r="E419" s="11"/>
      <c r="F419" s="11"/>
      <c r="G419" s="11"/>
      <c r="H419" s="15" t="str">
        <f aca="false">IF(OR(D419="",F419=""),"",IF(F419&lt;=1,D419,D419*(1+F419/30)))</f>
        <v/>
      </c>
      <c r="I419" s="15" t="str">
        <f aca="false">IF(OR(D419="",F419="",G419=""),"",IF(F419+MAX(0,10-G419)&lt;=1,D419,D419*(1+(F419+MAX(0,10-G419))/30)))</f>
        <v/>
      </c>
      <c r="J419" s="16" t="str">
        <f aca="false">IF(A419="","",IF(AND(C419="yes",N(G419)&gt;=7),N(E419),0))</f>
        <v/>
      </c>
      <c r="K419" s="17" t="str">
        <f aca="false">IF(A419="","",A419-WEEKDAY(A419,3))</f>
        <v/>
      </c>
      <c r="L419" s="11"/>
    </row>
    <row r="420" customFormat="false" ht="15" hidden="false" customHeight="false" outlineLevel="0" collapsed="false">
      <c r="A420" s="10"/>
      <c r="B420" s="11"/>
      <c r="C420" s="11"/>
      <c r="D420" s="11"/>
      <c r="E420" s="11"/>
      <c r="F420" s="11"/>
      <c r="G420" s="11"/>
      <c r="H420" s="15" t="str">
        <f aca="false">IF(OR(D420="",F420=""),"",IF(F420&lt;=1,D420,D420*(1+F420/30)))</f>
        <v/>
      </c>
      <c r="I420" s="15" t="str">
        <f aca="false">IF(OR(D420="",F420="",G420=""),"",IF(F420+MAX(0,10-G420)&lt;=1,D420,D420*(1+(F420+MAX(0,10-G420))/30)))</f>
        <v/>
      </c>
      <c r="J420" s="16" t="str">
        <f aca="false">IF(A420="","",IF(AND(C420="yes",N(G420)&gt;=7),N(E420),0))</f>
        <v/>
      </c>
      <c r="K420" s="17" t="str">
        <f aca="false">IF(A420="","",A420-WEEKDAY(A420,3))</f>
        <v/>
      </c>
      <c r="L420" s="11"/>
    </row>
    <row r="421" customFormat="false" ht="15" hidden="false" customHeight="false" outlineLevel="0" collapsed="false">
      <c r="A421" s="10"/>
      <c r="B421" s="11"/>
      <c r="C421" s="11"/>
      <c r="D421" s="11"/>
      <c r="E421" s="11"/>
      <c r="F421" s="11"/>
      <c r="G421" s="11"/>
      <c r="H421" s="15" t="str">
        <f aca="false">IF(OR(D421="",F421=""),"",IF(F421&lt;=1,D421,D421*(1+F421/30)))</f>
        <v/>
      </c>
      <c r="I421" s="15" t="str">
        <f aca="false">IF(OR(D421="",F421="",G421=""),"",IF(F421+MAX(0,10-G421)&lt;=1,D421,D421*(1+(F421+MAX(0,10-G421))/30)))</f>
        <v/>
      </c>
      <c r="J421" s="16" t="str">
        <f aca="false">IF(A421="","",IF(AND(C421="yes",N(G421)&gt;=7),N(E421),0))</f>
        <v/>
      </c>
      <c r="K421" s="17" t="str">
        <f aca="false">IF(A421="","",A421-WEEKDAY(A421,3))</f>
        <v/>
      </c>
      <c r="L421" s="11"/>
    </row>
    <row r="422" customFormat="false" ht="15" hidden="false" customHeight="false" outlineLevel="0" collapsed="false">
      <c r="A422" s="10"/>
      <c r="B422" s="11"/>
      <c r="C422" s="11"/>
      <c r="D422" s="11"/>
      <c r="E422" s="11"/>
      <c r="F422" s="11"/>
      <c r="G422" s="11"/>
      <c r="H422" s="15" t="str">
        <f aca="false">IF(OR(D422="",F422=""),"",IF(F422&lt;=1,D422,D422*(1+F422/30)))</f>
        <v/>
      </c>
      <c r="I422" s="15" t="str">
        <f aca="false">IF(OR(D422="",F422="",G422=""),"",IF(F422+MAX(0,10-G422)&lt;=1,D422,D422*(1+(F422+MAX(0,10-G422))/30)))</f>
        <v/>
      </c>
      <c r="J422" s="16" t="str">
        <f aca="false">IF(A422="","",IF(AND(C422="yes",N(G422)&gt;=7),N(E422),0))</f>
        <v/>
      </c>
      <c r="K422" s="17" t="str">
        <f aca="false">IF(A422="","",A422-WEEKDAY(A422,3))</f>
        <v/>
      </c>
      <c r="L422" s="11"/>
    </row>
    <row r="423" customFormat="false" ht="15" hidden="false" customHeight="false" outlineLevel="0" collapsed="false">
      <c r="A423" s="10"/>
      <c r="B423" s="11"/>
      <c r="C423" s="11"/>
      <c r="D423" s="11"/>
      <c r="E423" s="11"/>
      <c r="F423" s="11"/>
      <c r="G423" s="11"/>
      <c r="H423" s="15" t="str">
        <f aca="false">IF(OR(D423="",F423=""),"",IF(F423&lt;=1,D423,D423*(1+F423/30)))</f>
        <v/>
      </c>
      <c r="I423" s="15" t="str">
        <f aca="false">IF(OR(D423="",F423="",G423=""),"",IF(F423+MAX(0,10-G423)&lt;=1,D423,D423*(1+(F423+MAX(0,10-G423))/30)))</f>
        <v/>
      </c>
      <c r="J423" s="16" t="str">
        <f aca="false">IF(A423="","",IF(AND(C423="yes",N(G423)&gt;=7),N(E423),0))</f>
        <v/>
      </c>
      <c r="K423" s="17" t="str">
        <f aca="false">IF(A423="","",A423-WEEKDAY(A423,3))</f>
        <v/>
      </c>
      <c r="L423" s="11"/>
    </row>
    <row r="424" customFormat="false" ht="15" hidden="false" customHeight="false" outlineLevel="0" collapsed="false">
      <c r="A424" s="10"/>
      <c r="B424" s="11"/>
      <c r="C424" s="11"/>
      <c r="D424" s="11"/>
      <c r="E424" s="11"/>
      <c r="F424" s="11"/>
      <c r="G424" s="11"/>
      <c r="H424" s="15" t="str">
        <f aca="false">IF(OR(D424="",F424=""),"",IF(F424&lt;=1,D424,D424*(1+F424/30)))</f>
        <v/>
      </c>
      <c r="I424" s="15" t="str">
        <f aca="false">IF(OR(D424="",F424="",G424=""),"",IF(F424+MAX(0,10-G424)&lt;=1,D424,D424*(1+(F424+MAX(0,10-G424))/30)))</f>
        <v/>
      </c>
      <c r="J424" s="16" t="str">
        <f aca="false">IF(A424="","",IF(AND(C424="yes",N(G424)&gt;=7),N(E424),0))</f>
        <v/>
      </c>
      <c r="K424" s="17" t="str">
        <f aca="false">IF(A424="","",A424-WEEKDAY(A424,3))</f>
        <v/>
      </c>
      <c r="L424" s="11"/>
    </row>
    <row r="425" customFormat="false" ht="15" hidden="false" customHeight="false" outlineLevel="0" collapsed="false">
      <c r="A425" s="10"/>
      <c r="B425" s="11"/>
      <c r="C425" s="11"/>
      <c r="D425" s="11"/>
      <c r="E425" s="11"/>
      <c r="F425" s="11"/>
      <c r="G425" s="11"/>
      <c r="H425" s="15" t="str">
        <f aca="false">IF(OR(D425="",F425=""),"",IF(F425&lt;=1,D425,D425*(1+F425/30)))</f>
        <v/>
      </c>
      <c r="I425" s="15" t="str">
        <f aca="false">IF(OR(D425="",F425="",G425=""),"",IF(F425+MAX(0,10-G425)&lt;=1,D425,D425*(1+(F425+MAX(0,10-G425))/30)))</f>
        <v/>
      </c>
      <c r="J425" s="16" t="str">
        <f aca="false">IF(A425="","",IF(AND(C425="yes",N(G425)&gt;=7),N(E425),0))</f>
        <v/>
      </c>
      <c r="K425" s="17" t="str">
        <f aca="false">IF(A425="","",A425-WEEKDAY(A425,3))</f>
        <v/>
      </c>
      <c r="L425" s="11"/>
    </row>
    <row r="426" customFormat="false" ht="15" hidden="false" customHeight="false" outlineLevel="0" collapsed="false">
      <c r="A426" s="10"/>
      <c r="B426" s="11"/>
      <c r="C426" s="11"/>
      <c r="D426" s="11"/>
      <c r="E426" s="11"/>
      <c r="F426" s="11"/>
      <c r="G426" s="11"/>
      <c r="H426" s="15" t="str">
        <f aca="false">IF(OR(D426="",F426=""),"",IF(F426&lt;=1,D426,D426*(1+F426/30)))</f>
        <v/>
      </c>
      <c r="I426" s="15" t="str">
        <f aca="false">IF(OR(D426="",F426="",G426=""),"",IF(F426+MAX(0,10-G426)&lt;=1,D426,D426*(1+(F426+MAX(0,10-G426))/30)))</f>
        <v/>
      </c>
      <c r="J426" s="16" t="str">
        <f aca="false">IF(A426="","",IF(AND(C426="yes",N(G426)&gt;=7),N(E426),0))</f>
        <v/>
      </c>
      <c r="K426" s="17" t="str">
        <f aca="false">IF(A426="","",A426-WEEKDAY(A426,3))</f>
        <v/>
      </c>
      <c r="L426" s="11"/>
    </row>
    <row r="427" customFormat="false" ht="15" hidden="false" customHeight="false" outlineLevel="0" collapsed="false">
      <c r="A427" s="10"/>
      <c r="B427" s="11"/>
      <c r="C427" s="11"/>
      <c r="D427" s="11"/>
      <c r="E427" s="11"/>
      <c r="F427" s="11"/>
      <c r="G427" s="11"/>
      <c r="H427" s="15" t="str">
        <f aca="false">IF(OR(D427="",F427=""),"",IF(F427&lt;=1,D427,D427*(1+F427/30)))</f>
        <v/>
      </c>
      <c r="I427" s="15" t="str">
        <f aca="false">IF(OR(D427="",F427="",G427=""),"",IF(F427+MAX(0,10-G427)&lt;=1,D427,D427*(1+(F427+MAX(0,10-G427))/30)))</f>
        <v/>
      </c>
      <c r="J427" s="16" t="str">
        <f aca="false">IF(A427="","",IF(AND(C427="yes",N(G427)&gt;=7),N(E427),0))</f>
        <v/>
      </c>
      <c r="K427" s="17" t="str">
        <f aca="false">IF(A427="","",A427-WEEKDAY(A427,3))</f>
        <v/>
      </c>
      <c r="L427" s="11"/>
    </row>
    <row r="428" customFormat="false" ht="15" hidden="false" customHeight="false" outlineLevel="0" collapsed="false">
      <c r="A428" s="10"/>
      <c r="B428" s="11"/>
      <c r="C428" s="11"/>
      <c r="D428" s="11"/>
      <c r="E428" s="11"/>
      <c r="F428" s="11"/>
      <c r="G428" s="11"/>
      <c r="H428" s="15" t="str">
        <f aca="false">IF(OR(D428="",F428=""),"",IF(F428&lt;=1,D428,D428*(1+F428/30)))</f>
        <v/>
      </c>
      <c r="I428" s="15" t="str">
        <f aca="false">IF(OR(D428="",F428="",G428=""),"",IF(F428+MAX(0,10-G428)&lt;=1,D428,D428*(1+(F428+MAX(0,10-G428))/30)))</f>
        <v/>
      </c>
      <c r="J428" s="16" t="str">
        <f aca="false">IF(A428="","",IF(AND(C428="yes",N(G428)&gt;=7),N(E428),0))</f>
        <v/>
      </c>
      <c r="K428" s="17" t="str">
        <f aca="false">IF(A428="","",A428-WEEKDAY(A428,3))</f>
        <v/>
      </c>
      <c r="L428" s="11"/>
    </row>
    <row r="429" customFormat="false" ht="15" hidden="false" customHeight="false" outlineLevel="0" collapsed="false">
      <c r="A429" s="10"/>
      <c r="B429" s="11"/>
      <c r="C429" s="11"/>
      <c r="D429" s="11"/>
      <c r="E429" s="11"/>
      <c r="F429" s="11"/>
      <c r="G429" s="11"/>
      <c r="H429" s="15" t="str">
        <f aca="false">IF(OR(D429="",F429=""),"",IF(F429&lt;=1,D429,D429*(1+F429/30)))</f>
        <v/>
      </c>
      <c r="I429" s="15" t="str">
        <f aca="false">IF(OR(D429="",F429="",G429=""),"",IF(F429+MAX(0,10-G429)&lt;=1,D429,D429*(1+(F429+MAX(0,10-G429))/30)))</f>
        <v/>
      </c>
      <c r="J429" s="16" t="str">
        <f aca="false">IF(A429="","",IF(AND(C429="yes",N(G429)&gt;=7),N(E429),0))</f>
        <v/>
      </c>
      <c r="K429" s="17" t="str">
        <f aca="false">IF(A429="","",A429-WEEKDAY(A429,3))</f>
        <v/>
      </c>
      <c r="L429" s="11"/>
    </row>
    <row r="430" customFormat="false" ht="15" hidden="false" customHeight="false" outlineLevel="0" collapsed="false">
      <c r="A430" s="10"/>
      <c r="B430" s="11"/>
      <c r="C430" s="11"/>
      <c r="D430" s="11"/>
      <c r="E430" s="11"/>
      <c r="F430" s="11"/>
      <c r="G430" s="11"/>
      <c r="H430" s="15" t="str">
        <f aca="false">IF(OR(D430="",F430=""),"",IF(F430&lt;=1,D430,D430*(1+F430/30)))</f>
        <v/>
      </c>
      <c r="I430" s="15" t="str">
        <f aca="false">IF(OR(D430="",F430="",G430=""),"",IF(F430+MAX(0,10-G430)&lt;=1,D430,D430*(1+(F430+MAX(0,10-G430))/30)))</f>
        <v/>
      </c>
      <c r="J430" s="16" t="str">
        <f aca="false">IF(A430="","",IF(AND(C430="yes",N(G430)&gt;=7),N(E430),0))</f>
        <v/>
      </c>
      <c r="K430" s="17" t="str">
        <f aca="false">IF(A430="","",A430-WEEKDAY(A430,3))</f>
        <v/>
      </c>
      <c r="L430" s="11"/>
    </row>
    <row r="431" customFormat="false" ht="15" hidden="false" customHeight="false" outlineLevel="0" collapsed="false">
      <c r="A431" s="10"/>
      <c r="B431" s="11"/>
      <c r="C431" s="11"/>
      <c r="D431" s="11"/>
      <c r="E431" s="11"/>
      <c r="F431" s="11"/>
      <c r="G431" s="11"/>
      <c r="H431" s="15" t="str">
        <f aca="false">IF(OR(D431="",F431=""),"",IF(F431&lt;=1,D431,D431*(1+F431/30)))</f>
        <v/>
      </c>
      <c r="I431" s="15" t="str">
        <f aca="false">IF(OR(D431="",F431="",G431=""),"",IF(F431+MAX(0,10-G431)&lt;=1,D431,D431*(1+(F431+MAX(0,10-G431))/30)))</f>
        <v/>
      </c>
      <c r="J431" s="16" t="str">
        <f aca="false">IF(A431="","",IF(AND(C431="yes",N(G431)&gt;=7),N(E431),0))</f>
        <v/>
      </c>
      <c r="K431" s="17" t="str">
        <f aca="false">IF(A431="","",A431-WEEKDAY(A431,3))</f>
        <v/>
      </c>
      <c r="L431" s="11"/>
    </row>
    <row r="432" customFormat="false" ht="15" hidden="false" customHeight="false" outlineLevel="0" collapsed="false">
      <c r="A432" s="10"/>
      <c r="B432" s="11"/>
      <c r="C432" s="11"/>
      <c r="D432" s="11"/>
      <c r="E432" s="11"/>
      <c r="F432" s="11"/>
      <c r="G432" s="11"/>
      <c r="H432" s="15" t="str">
        <f aca="false">IF(OR(D432="",F432=""),"",IF(F432&lt;=1,D432,D432*(1+F432/30)))</f>
        <v/>
      </c>
      <c r="I432" s="15" t="str">
        <f aca="false">IF(OR(D432="",F432="",G432=""),"",IF(F432+MAX(0,10-G432)&lt;=1,D432,D432*(1+(F432+MAX(0,10-G432))/30)))</f>
        <v/>
      </c>
      <c r="J432" s="16" t="str">
        <f aca="false">IF(A432="","",IF(AND(C432="yes",N(G432)&gt;=7),N(E432),0))</f>
        <v/>
      </c>
      <c r="K432" s="17" t="str">
        <f aca="false">IF(A432="","",A432-WEEKDAY(A432,3))</f>
        <v/>
      </c>
      <c r="L432" s="11"/>
    </row>
    <row r="433" customFormat="false" ht="15" hidden="false" customHeight="false" outlineLevel="0" collapsed="false">
      <c r="A433" s="10"/>
      <c r="B433" s="11"/>
      <c r="C433" s="11"/>
      <c r="D433" s="11"/>
      <c r="E433" s="11"/>
      <c r="F433" s="11"/>
      <c r="G433" s="11"/>
      <c r="H433" s="15" t="str">
        <f aca="false">IF(OR(D433="",F433=""),"",IF(F433&lt;=1,D433,D433*(1+F433/30)))</f>
        <v/>
      </c>
      <c r="I433" s="15" t="str">
        <f aca="false">IF(OR(D433="",F433="",G433=""),"",IF(F433+MAX(0,10-G433)&lt;=1,D433,D433*(1+(F433+MAX(0,10-G433))/30)))</f>
        <v/>
      </c>
      <c r="J433" s="16" t="str">
        <f aca="false">IF(A433="","",IF(AND(C433="yes",N(G433)&gt;=7),N(E433),0))</f>
        <v/>
      </c>
      <c r="K433" s="17" t="str">
        <f aca="false">IF(A433="","",A433-WEEKDAY(A433,3))</f>
        <v/>
      </c>
      <c r="L433" s="11"/>
    </row>
    <row r="434" customFormat="false" ht="15" hidden="false" customHeight="false" outlineLevel="0" collapsed="false">
      <c r="A434" s="10"/>
      <c r="B434" s="11"/>
      <c r="C434" s="11"/>
      <c r="D434" s="11"/>
      <c r="E434" s="11"/>
      <c r="F434" s="11"/>
      <c r="G434" s="11"/>
      <c r="H434" s="15" t="str">
        <f aca="false">IF(OR(D434="",F434=""),"",IF(F434&lt;=1,D434,D434*(1+F434/30)))</f>
        <v/>
      </c>
      <c r="I434" s="15" t="str">
        <f aca="false">IF(OR(D434="",F434="",G434=""),"",IF(F434+MAX(0,10-G434)&lt;=1,D434,D434*(1+(F434+MAX(0,10-G434))/30)))</f>
        <v/>
      </c>
      <c r="J434" s="16" t="str">
        <f aca="false">IF(A434="","",IF(AND(C434="yes",N(G434)&gt;=7),N(E434),0))</f>
        <v/>
      </c>
      <c r="K434" s="17" t="str">
        <f aca="false">IF(A434="","",A434-WEEKDAY(A434,3))</f>
        <v/>
      </c>
      <c r="L434" s="11"/>
    </row>
    <row r="435" customFormat="false" ht="15" hidden="false" customHeight="false" outlineLevel="0" collapsed="false">
      <c r="A435" s="10"/>
      <c r="B435" s="11"/>
      <c r="C435" s="11"/>
      <c r="D435" s="11"/>
      <c r="E435" s="11"/>
      <c r="F435" s="11"/>
      <c r="G435" s="11"/>
      <c r="H435" s="15" t="str">
        <f aca="false">IF(OR(D435="",F435=""),"",IF(F435&lt;=1,D435,D435*(1+F435/30)))</f>
        <v/>
      </c>
      <c r="I435" s="15" t="str">
        <f aca="false">IF(OR(D435="",F435="",G435=""),"",IF(F435+MAX(0,10-G435)&lt;=1,D435,D435*(1+(F435+MAX(0,10-G435))/30)))</f>
        <v/>
      </c>
      <c r="J435" s="16" t="str">
        <f aca="false">IF(A435="","",IF(AND(C435="yes",N(G435)&gt;=7),N(E435),0))</f>
        <v/>
      </c>
      <c r="K435" s="17" t="str">
        <f aca="false">IF(A435="","",A435-WEEKDAY(A435,3))</f>
        <v/>
      </c>
      <c r="L435" s="11"/>
    </row>
    <row r="436" customFormat="false" ht="15" hidden="false" customHeight="false" outlineLevel="0" collapsed="false">
      <c r="A436" s="10"/>
      <c r="B436" s="11"/>
      <c r="C436" s="11"/>
      <c r="D436" s="11"/>
      <c r="E436" s="11"/>
      <c r="F436" s="11"/>
      <c r="G436" s="11"/>
      <c r="H436" s="15" t="str">
        <f aca="false">IF(OR(D436="",F436=""),"",IF(F436&lt;=1,D436,D436*(1+F436/30)))</f>
        <v/>
      </c>
      <c r="I436" s="15" t="str">
        <f aca="false">IF(OR(D436="",F436="",G436=""),"",IF(F436+MAX(0,10-G436)&lt;=1,D436,D436*(1+(F436+MAX(0,10-G436))/30)))</f>
        <v/>
      </c>
      <c r="J436" s="16" t="str">
        <f aca="false">IF(A436="","",IF(AND(C436="yes",N(G436)&gt;=7),N(E436),0))</f>
        <v/>
      </c>
      <c r="K436" s="17" t="str">
        <f aca="false">IF(A436="","",A436-WEEKDAY(A436,3))</f>
        <v/>
      </c>
      <c r="L436" s="11"/>
    </row>
    <row r="437" customFormat="false" ht="15" hidden="false" customHeight="false" outlineLevel="0" collapsed="false">
      <c r="A437" s="10"/>
      <c r="B437" s="11"/>
      <c r="C437" s="11"/>
      <c r="D437" s="11"/>
      <c r="E437" s="11"/>
      <c r="F437" s="11"/>
      <c r="G437" s="11"/>
      <c r="H437" s="15" t="str">
        <f aca="false">IF(OR(D437="",F437=""),"",IF(F437&lt;=1,D437,D437*(1+F437/30)))</f>
        <v/>
      </c>
      <c r="I437" s="15" t="str">
        <f aca="false">IF(OR(D437="",F437="",G437=""),"",IF(F437+MAX(0,10-G437)&lt;=1,D437,D437*(1+(F437+MAX(0,10-G437))/30)))</f>
        <v/>
      </c>
      <c r="J437" s="16" t="str">
        <f aca="false">IF(A437="","",IF(AND(C437="yes",N(G437)&gt;=7),N(E437),0))</f>
        <v/>
      </c>
      <c r="K437" s="17" t="str">
        <f aca="false">IF(A437="","",A437-WEEKDAY(A437,3))</f>
        <v/>
      </c>
      <c r="L437" s="11"/>
    </row>
    <row r="438" customFormat="false" ht="15" hidden="false" customHeight="false" outlineLevel="0" collapsed="false">
      <c r="A438" s="10"/>
      <c r="B438" s="11"/>
      <c r="C438" s="11"/>
      <c r="D438" s="11"/>
      <c r="E438" s="11"/>
      <c r="F438" s="11"/>
      <c r="G438" s="11"/>
      <c r="H438" s="15" t="str">
        <f aca="false">IF(OR(D438="",F438=""),"",IF(F438&lt;=1,D438,D438*(1+F438/30)))</f>
        <v/>
      </c>
      <c r="I438" s="15" t="str">
        <f aca="false">IF(OR(D438="",F438="",G438=""),"",IF(F438+MAX(0,10-G438)&lt;=1,D438,D438*(1+(F438+MAX(0,10-G438))/30)))</f>
        <v/>
      </c>
      <c r="J438" s="16" t="str">
        <f aca="false">IF(A438="","",IF(AND(C438="yes",N(G438)&gt;=7),N(E438),0))</f>
        <v/>
      </c>
      <c r="K438" s="17" t="str">
        <f aca="false">IF(A438="","",A438-WEEKDAY(A438,3))</f>
        <v/>
      </c>
      <c r="L438" s="11"/>
    </row>
    <row r="439" customFormat="false" ht="15" hidden="false" customHeight="false" outlineLevel="0" collapsed="false">
      <c r="A439" s="10"/>
      <c r="B439" s="11"/>
      <c r="C439" s="11"/>
      <c r="D439" s="11"/>
      <c r="E439" s="11"/>
      <c r="F439" s="11"/>
      <c r="G439" s="11"/>
      <c r="H439" s="15" t="str">
        <f aca="false">IF(OR(D439="",F439=""),"",IF(F439&lt;=1,D439,D439*(1+F439/30)))</f>
        <v/>
      </c>
      <c r="I439" s="15" t="str">
        <f aca="false">IF(OR(D439="",F439="",G439=""),"",IF(F439+MAX(0,10-G439)&lt;=1,D439,D439*(1+(F439+MAX(0,10-G439))/30)))</f>
        <v/>
      </c>
      <c r="J439" s="16" t="str">
        <f aca="false">IF(A439="","",IF(AND(C439="yes",N(G439)&gt;=7),N(E439),0))</f>
        <v/>
      </c>
      <c r="K439" s="17" t="str">
        <f aca="false">IF(A439="","",A439-WEEKDAY(A439,3))</f>
        <v/>
      </c>
      <c r="L439" s="11"/>
    </row>
    <row r="440" customFormat="false" ht="15" hidden="false" customHeight="false" outlineLevel="0" collapsed="false">
      <c r="A440" s="10"/>
      <c r="B440" s="11"/>
      <c r="C440" s="11"/>
      <c r="D440" s="11"/>
      <c r="E440" s="11"/>
      <c r="F440" s="11"/>
      <c r="G440" s="11"/>
      <c r="H440" s="15" t="str">
        <f aca="false">IF(OR(D440="",F440=""),"",IF(F440&lt;=1,D440,D440*(1+F440/30)))</f>
        <v/>
      </c>
      <c r="I440" s="15" t="str">
        <f aca="false">IF(OR(D440="",F440="",G440=""),"",IF(F440+MAX(0,10-G440)&lt;=1,D440,D440*(1+(F440+MAX(0,10-G440))/30)))</f>
        <v/>
      </c>
      <c r="J440" s="16" t="str">
        <f aca="false">IF(A440="","",IF(AND(C440="yes",N(G440)&gt;=7),N(E440),0))</f>
        <v/>
      </c>
      <c r="K440" s="17" t="str">
        <f aca="false">IF(A440="","",A440-WEEKDAY(A440,3))</f>
        <v/>
      </c>
      <c r="L440" s="11"/>
    </row>
    <row r="441" customFormat="false" ht="15" hidden="false" customHeight="false" outlineLevel="0" collapsed="false">
      <c r="A441" s="10"/>
      <c r="B441" s="11"/>
      <c r="C441" s="11"/>
      <c r="D441" s="11"/>
      <c r="E441" s="11"/>
      <c r="F441" s="11"/>
      <c r="G441" s="11"/>
      <c r="H441" s="15" t="str">
        <f aca="false">IF(OR(D441="",F441=""),"",IF(F441&lt;=1,D441,D441*(1+F441/30)))</f>
        <v/>
      </c>
      <c r="I441" s="15" t="str">
        <f aca="false">IF(OR(D441="",F441="",G441=""),"",IF(F441+MAX(0,10-G441)&lt;=1,D441,D441*(1+(F441+MAX(0,10-G441))/30)))</f>
        <v/>
      </c>
      <c r="J441" s="16" t="str">
        <f aca="false">IF(A441="","",IF(AND(C441="yes",N(G441)&gt;=7),N(E441),0))</f>
        <v/>
      </c>
      <c r="K441" s="17" t="str">
        <f aca="false">IF(A441="","",A441-WEEKDAY(A441,3))</f>
        <v/>
      </c>
      <c r="L441" s="11"/>
    </row>
    <row r="442" customFormat="false" ht="15" hidden="false" customHeight="false" outlineLevel="0" collapsed="false">
      <c r="A442" s="10"/>
      <c r="B442" s="11"/>
      <c r="C442" s="11"/>
      <c r="D442" s="11"/>
      <c r="E442" s="11"/>
      <c r="F442" s="11"/>
      <c r="G442" s="11"/>
      <c r="H442" s="15" t="str">
        <f aca="false">IF(OR(D442="",F442=""),"",IF(F442&lt;=1,D442,D442*(1+F442/30)))</f>
        <v/>
      </c>
      <c r="I442" s="15" t="str">
        <f aca="false">IF(OR(D442="",F442="",G442=""),"",IF(F442+MAX(0,10-G442)&lt;=1,D442,D442*(1+(F442+MAX(0,10-G442))/30)))</f>
        <v/>
      </c>
      <c r="J442" s="16" t="str">
        <f aca="false">IF(A442="","",IF(AND(C442="yes",N(G442)&gt;=7),N(E442),0))</f>
        <v/>
      </c>
      <c r="K442" s="17" t="str">
        <f aca="false">IF(A442="","",A442-WEEKDAY(A442,3))</f>
        <v/>
      </c>
      <c r="L442" s="11"/>
    </row>
    <row r="443" customFormat="false" ht="15" hidden="false" customHeight="false" outlineLevel="0" collapsed="false">
      <c r="A443" s="10"/>
      <c r="B443" s="11"/>
      <c r="C443" s="11"/>
      <c r="D443" s="11"/>
      <c r="E443" s="11"/>
      <c r="F443" s="11"/>
      <c r="G443" s="11"/>
      <c r="H443" s="15" t="str">
        <f aca="false">IF(OR(D443="",F443=""),"",IF(F443&lt;=1,D443,D443*(1+F443/30)))</f>
        <v/>
      </c>
      <c r="I443" s="15" t="str">
        <f aca="false">IF(OR(D443="",F443="",G443=""),"",IF(F443+MAX(0,10-G443)&lt;=1,D443,D443*(1+(F443+MAX(0,10-G443))/30)))</f>
        <v/>
      </c>
      <c r="J443" s="16" t="str">
        <f aca="false">IF(A443="","",IF(AND(C443="yes",N(G443)&gt;=7),N(E443),0))</f>
        <v/>
      </c>
      <c r="K443" s="17" t="str">
        <f aca="false">IF(A443="","",A443-WEEKDAY(A443,3))</f>
        <v/>
      </c>
      <c r="L443" s="11"/>
    </row>
    <row r="444" customFormat="false" ht="15" hidden="false" customHeight="false" outlineLevel="0" collapsed="false">
      <c r="A444" s="10"/>
      <c r="B444" s="11"/>
      <c r="C444" s="11"/>
      <c r="D444" s="11"/>
      <c r="E444" s="11"/>
      <c r="F444" s="11"/>
      <c r="G444" s="11"/>
      <c r="H444" s="15" t="str">
        <f aca="false">IF(OR(D444="",F444=""),"",IF(F444&lt;=1,D444,D444*(1+F444/30)))</f>
        <v/>
      </c>
      <c r="I444" s="15" t="str">
        <f aca="false">IF(OR(D444="",F444="",G444=""),"",IF(F444+MAX(0,10-G444)&lt;=1,D444,D444*(1+(F444+MAX(0,10-G444))/30)))</f>
        <v/>
      </c>
      <c r="J444" s="16" t="str">
        <f aca="false">IF(A444="","",IF(AND(C444="yes",N(G444)&gt;=7),N(E444),0))</f>
        <v/>
      </c>
      <c r="K444" s="17" t="str">
        <f aca="false">IF(A444="","",A444-WEEKDAY(A444,3))</f>
        <v/>
      </c>
      <c r="L444" s="11"/>
    </row>
    <row r="445" customFormat="false" ht="15" hidden="false" customHeight="false" outlineLevel="0" collapsed="false">
      <c r="A445" s="10"/>
      <c r="B445" s="11"/>
      <c r="C445" s="11"/>
      <c r="D445" s="11"/>
      <c r="E445" s="11"/>
      <c r="F445" s="11"/>
      <c r="G445" s="11"/>
      <c r="H445" s="15" t="str">
        <f aca="false">IF(OR(D445="",F445=""),"",IF(F445&lt;=1,D445,D445*(1+F445/30)))</f>
        <v/>
      </c>
      <c r="I445" s="15" t="str">
        <f aca="false">IF(OR(D445="",F445="",G445=""),"",IF(F445+MAX(0,10-G445)&lt;=1,D445,D445*(1+(F445+MAX(0,10-G445))/30)))</f>
        <v/>
      </c>
      <c r="J445" s="16" t="str">
        <f aca="false">IF(A445="","",IF(AND(C445="yes",N(G445)&gt;=7),N(E445),0))</f>
        <v/>
      </c>
      <c r="K445" s="17" t="str">
        <f aca="false">IF(A445="","",A445-WEEKDAY(A445,3))</f>
        <v/>
      </c>
      <c r="L445" s="11"/>
    </row>
    <row r="446" customFormat="false" ht="15" hidden="false" customHeight="false" outlineLevel="0" collapsed="false">
      <c r="A446" s="10"/>
      <c r="B446" s="11"/>
      <c r="C446" s="11"/>
      <c r="D446" s="11"/>
      <c r="E446" s="11"/>
      <c r="F446" s="11"/>
      <c r="G446" s="11"/>
      <c r="H446" s="15" t="str">
        <f aca="false">IF(OR(D446="",F446=""),"",IF(F446&lt;=1,D446,D446*(1+F446/30)))</f>
        <v/>
      </c>
      <c r="I446" s="15" t="str">
        <f aca="false">IF(OR(D446="",F446="",G446=""),"",IF(F446+MAX(0,10-G446)&lt;=1,D446,D446*(1+(F446+MAX(0,10-G446))/30)))</f>
        <v/>
      </c>
      <c r="J446" s="16" t="str">
        <f aca="false">IF(A446="","",IF(AND(C446="yes",N(G446)&gt;=7),N(E446),0))</f>
        <v/>
      </c>
      <c r="K446" s="17" t="str">
        <f aca="false">IF(A446="","",A446-WEEKDAY(A446,3))</f>
        <v/>
      </c>
      <c r="L446" s="11"/>
    </row>
    <row r="447" customFormat="false" ht="15" hidden="false" customHeight="false" outlineLevel="0" collapsed="false">
      <c r="A447" s="10"/>
      <c r="B447" s="11"/>
      <c r="C447" s="11"/>
      <c r="D447" s="11"/>
      <c r="E447" s="11"/>
      <c r="F447" s="11"/>
      <c r="G447" s="11"/>
      <c r="H447" s="15" t="str">
        <f aca="false">IF(OR(D447="",F447=""),"",IF(F447&lt;=1,D447,D447*(1+F447/30)))</f>
        <v/>
      </c>
      <c r="I447" s="15" t="str">
        <f aca="false">IF(OR(D447="",F447="",G447=""),"",IF(F447+MAX(0,10-G447)&lt;=1,D447,D447*(1+(F447+MAX(0,10-G447))/30)))</f>
        <v/>
      </c>
      <c r="J447" s="16" t="str">
        <f aca="false">IF(A447="","",IF(AND(C447="yes",N(G447)&gt;=7),N(E447),0))</f>
        <v/>
      </c>
      <c r="K447" s="17" t="str">
        <f aca="false">IF(A447="","",A447-WEEKDAY(A447,3))</f>
        <v/>
      </c>
      <c r="L447" s="11"/>
    </row>
    <row r="448" customFormat="false" ht="15" hidden="false" customHeight="false" outlineLevel="0" collapsed="false">
      <c r="A448" s="10"/>
      <c r="B448" s="11"/>
      <c r="C448" s="11"/>
      <c r="D448" s="11"/>
      <c r="E448" s="11"/>
      <c r="F448" s="11"/>
      <c r="G448" s="11"/>
      <c r="H448" s="15" t="str">
        <f aca="false">IF(OR(D448="",F448=""),"",IF(F448&lt;=1,D448,D448*(1+F448/30)))</f>
        <v/>
      </c>
      <c r="I448" s="15" t="str">
        <f aca="false">IF(OR(D448="",F448="",G448=""),"",IF(F448+MAX(0,10-G448)&lt;=1,D448,D448*(1+(F448+MAX(0,10-G448))/30)))</f>
        <v/>
      </c>
      <c r="J448" s="16" t="str">
        <f aca="false">IF(A448="","",IF(AND(C448="yes",N(G448)&gt;=7),N(E448),0))</f>
        <v/>
      </c>
      <c r="K448" s="17" t="str">
        <f aca="false">IF(A448="","",A448-WEEKDAY(A448,3))</f>
        <v/>
      </c>
      <c r="L448" s="11"/>
    </row>
    <row r="449" customFormat="false" ht="15" hidden="false" customHeight="false" outlineLevel="0" collapsed="false">
      <c r="A449" s="10"/>
      <c r="B449" s="11"/>
      <c r="C449" s="11"/>
      <c r="D449" s="11"/>
      <c r="E449" s="11"/>
      <c r="F449" s="11"/>
      <c r="G449" s="11"/>
      <c r="H449" s="15" t="str">
        <f aca="false">IF(OR(D449="",F449=""),"",IF(F449&lt;=1,D449,D449*(1+F449/30)))</f>
        <v/>
      </c>
      <c r="I449" s="15" t="str">
        <f aca="false">IF(OR(D449="",F449="",G449=""),"",IF(F449+MAX(0,10-G449)&lt;=1,D449,D449*(1+(F449+MAX(0,10-G449))/30)))</f>
        <v/>
      </c>
      <c r="J449" s="16" t="str">
        <f aca="false">IF(A449="","",IF(AND(C449="yes",N(G449)&gt;=7),N(E449),0))</f>
        <v/>
      </c>
      <c r="K449" s="17" t="str">
        <f aca="false">IF(A449="","",A449-WEEKDAY(A449,3))</f>
        <v/>
      </c>
      <c r="L449" s="11"/>
    </row>
    <row r="450" customFormat="false" ht="15" hidden="false" customHeight="false" outlineLevel="0" collapsed="false">
      <c r="A450" s="10"/>
      <c r="B450" s="11"/>
      <c r="C450" s="11"/>
      <c r="D450" s="11"/>
      <c r="E450" s="11"/>
      <c r="F450" s="11"/>
      <c r="G450" s="11"/>
      <c r="H450" s="15" t="str">
        <f aca="false">IF(OR(D450="",F450=""),"",IF(F450&lt;=1,D450,D450*(1+F450/30)))</f>
        <v/>
      </c>
      <c r="I450" s="15" t="str">
        <f aca="false">IF(OR(D450="",F450="",G450=""),"",IF(F450+MAX(0,10-G450)&lt;=1,D450,D450*(1+(F450+MAX(0,10-G450))/30)))</f>
        <v/>
      </c>
      <c r="J450" s="16" t="str">
        <f aca="false">IF(A450="","",IF(AND(C450="yes",N(G450)&gt;=7),N(E450),0))</f>
        <v/>
      </c>
      <c r="K450" s="17" t="str">
        <f aca="false">IF(A450="","",A450-WEEKDAY(A450,3))</f>
        <v/>
      </c>
      <c r="L450" s="11"/>
    </row>
    <row r="451" customFormat="false" ht="15" hidden="false" customHeight="false" outlineLevel="0" collapsed="false">
      <c r="A451" s="10"/>
      <c r="B451" s="11"/>
      <c r="C451" s="11"/>
      <c r="D451" s="11"/>
      <c r="E451" s="11"/>
      <c r="F451" s="11"/>
      <c r="G451" s="11"/>
      <c r="H451" s="15" t="str">
        <f aca="false">IF(OR(D451="",F451=""),"",IF(F451&lt;=1,D451,D451*(1+F451/30)))</f>
        <v/>
      </c>
      <c r="I451" s="15" t="str">
        <f aca="false">IF(OR(D451="",F451="",G451=""),"",IF(F451+MAX(0,10-G451)&lt;=1,D451,D451*(1+(F451+MAX(0,10-G451))/30)))</f>
        <v/>
      </c>
      <c r="J451" s="16" t="str">
        <f aca="false">IF(A451="","",IF(AND(C451="yes",N(G451)&gt;=7),N(E451),0))</f>
        <v/>
      </c>
      <c r="K451" s="17" t="str">
        <f aca="false">IF(A451="","",A451-WEEKDAY(A451,3))</f>
        <v/>
      </c>
      <c r="L451" s="11"/>
    </row>
    <row r="452" customFormat="false" ht="15" hidden="false" customHeight="false" outlineLevel="0" collapsed="false">
      <c r="A452" s="10"/>
      <c r="B452" s="11"/>
      <c r="C452" s="11"/>
      <c r="D452" s="11"/>
      <c r="E452" s="11"/>
      <c r="F452" s="11"/>
      <c r="G452" s="11"/>
      <c r="H452" s="15" t="str">
        <f aca="false">IF(OR(D452="",F452=""),"",IF(F452&lt;=1,D452,D452*(1+F452/30)))</f>
        <v/>
      </c>
      <c r="I452" s="15" t="str">
        <f aca="false">IF(OR(D452="",F452="",G452=""),"",IF(F452+MAX(0,10-G452)&lt;=1,D452,D452*(1+(F452+MAX(0,10-G452))/30)))</f>
        <v/>
      </c>
      <c r="J452" s="16" t="str">
        <f aca="false">IF(A452="","",IF(AND(C452="yes",N(G452)&gt;=7),N(E452),0))</f>
        <v/>
      </c>
      <c r="K452" s="17" t="str">
        <f aca="false">IF(A452="","",A452-WEEKDAY(A452,3))</f>
        <v/>
      </c>
      <c r="L452" s="11"/>
    </row>
    <row r="453" customFormat="false" ht="15" hidden="false" customHeight="false" outlineLevel="0" collapsed="false">
      <c r="A453" s="10"/>
      <c r="B453" s="11"/>
      <c r="C453" s="11"/>
      <c r="D453" s="11"/>
      <c r="E453" s="11"/>
      <c r="F453" s="11"/>
      <c r="G453" s="11"/>
      <c r="H453" s="15" t="str">
        <f aca="false">IF(OR(D453="",F453=""),"",IF(F453&lt;=1,D453,D453*(1+F453/30)))</f>
        <v/>
      </c>
      <c r="I453" s="15" t="str">
        <f aca="false">IF(OR(D453="",F453="",G453=""),"",IF(F453+MAX(0,10-G453)&lt;=1,D453,D453*(1+(F453+MAX(0,10-G453))/30)))</f>
        <v/>
      </c>
      <c r="J453" s="16" t="str">
        <f aca="false">IF(A453="","",IF(AND(C453="yes",N(G453)&gt;=7),N(E453),0))</f>
        <v/>
      </c>
      <c r="K453" s="17" t="str">
        <f aca="false">IF(A453="","",A453-WEEKDAY(A453,3))</f>
        <v/>
      </c>
      <c r="L453" s="11"/>
    </row>
    <row r="454" customFormat="false" ht="15" hidden="false" customHeight="false" outlineLevel="0" collapsed="false">
      <c r="A454" s="10"/>
      <c r="B454" s="11"/>
      <c r="C454" s="11"/>
      <c r="D454" s="11"/>
      <c r="E454" s="11"/>
      <c r="F454" s="11"/>
      <c r="G454" s="11"/>
      <c r="H454" s="15" t="str">
        <f aca="false">IF(OR(D454="",F454=""),"",IF(F454&lt;=1,D454,D454*(1+F454/30)))</f>
        <v/>
      </c>
      <c r="I454" s="15" t="str">
        <f aca="false">IF(OR(D454="",F454="",G454=""),"",IF(F454+MAX(0,10-G454)&lt;=1,D454,D454*(1+(F454+MAX(0,10-G454))/30)))</f>
        <v/>
      </c>
      <c r="J454" s="16" t="str">
        <f aca="false">IF(A454="","",IF(AND(C454="yes",N(G454)&gt;=7),N(E454),0))</f>
        <v/>
      </c>
      <c r="K454" s="17" t="str">
        <f aca="false">IF(A454="","",A454-WEEKDAY(A454,3))</f>
        <v/>
      </c>
      <c r="L454" s="11"/>
    </row>
    <row r="455" customFormat="false" ht="15" hidden="false" customHeight="false" outlineLevel="0" collapsed="false">
      <c r="A455" s="10"/>
      <c r="B455" s="11"/>
      <c r="C455" s="11"/>
      <c r="D455" s="11"/>
      <c r="E455" s="11"/>
      <c r="F455" s="11"/>
      <c r="G455" s="11"/>
      <c r="H455" s="15" t="str">
        <f aca="false">IF(OR(D455="",F455=""),"",IF(F455&lt;=1,D455,D455*(1+F455/30)))</f>
        <v/>
      </c>
      <c r="I455" s="15" t="str">
        <f aca="false">IF(OR(D455="",F455="",G455=""),"",IF(F455+MAX(0,10-G455)&lt;=1,D455,D455*(1+(F455+MAX(0,10-G455))/30)))</f>
        <v/>
      </c>
      <c r="J455" s="16" t="str">
        <f aca="false">IF(A455="","",IF(AND(C455="yes",N(G455)&gt;=7),N(E455),0))</f>
        <v/>
      </c>
      <c r="K455" s="17" t="str">
        <f aca="false">IF(A455="","",A455-WEEKDAY(A455,3))</f>
        <v/>
      </c>
      <c r="L455" s="11"/>
    </row>
    <row r="456" customFormat="false" ht="15" hidden="false" customHeight="false" outlineLevel="0" collapsed="false">
      <c r="A456" s="10"/>
      <c r="B456" s="11"/>
      <c r="C456" s="11"/>
      <c r="D456" s="11"/>
      <c r="E456" s="11"/>
      <c r="F456" s="11"/>
      <c r="G456" s="11"/>
      <c r="H456" s="15" t="str">
        <f aca="false">IF(OR(D456="",F456=""),"",IF(F456&lt;=1,D456,D456*(1+F456/30)))</f>
        <v/>
      </c>
      <c r="I456" s="15" t="str">
        <f aca="false">IF(OR(D456="",F456="",G456=""),"",IF(F456+MAX(0,10-G456)&lt;=1,D456,D456*(1+(F456+MAX(0,10-G456))/30)))</f>
        <v/>
      </c>
      <c r="J456" s="16" t="str">
        <f aca="false">IF(A456="","",IF(AND(C456="yes",N(G456)&gt;=7),N(E456),0))</f>
        <v/>
      </c>
      <c r="K456" s="17" t="str">
        <f aca="false">IF(A456="","",A456-WEEKDAY(A456,3))</f>
        <v/>
      </c>
      <c r="L456" s="11"/>
    </row>
    <row r="457" customFormat="false" ht="15" hidden="false" customHeight="false" outlineLevel="0" collapsed="false">
      <c r="A457" s="10"/>
      <c r="B457" s="11"/>
      <c r="C457" s="11"/>
      <c r="D457" s="11"/>
      <c r="E457" s="11"/>
      <c r="F457" s="11"/>
      <c r="G457" s="11"/>
      <c r="H457" s="15" t="str">
        <f aca="false">IF(OR(D457="",F457=""),"",IF(F457&lt;=1,D457,D457*(1+F457/30)))</f>
        <v/>
      </c>
      <c r="I457" s="15" t="str">
        <f aca="false">IF(OR(D457="",F457="",G457=""),"",IF(F457+MAX(0,10-G457)&lt;=1,D457,D457*(1+(F457+MAX(0,10-G457))/30)))</f>
        <v/>
      </c>
      <c r="J457" s="16" t="str">
        <f aca="false">IF(A457="","",IF(AND(C457="yes",N(G457)&gt;=7),N(E457),0))</f>
        <v/>
      </c>
      <c r="K457" s="17" t="str">
        <f aca="false">IF(A457="","",A457-WEEKDAY(A457,3))</f>
        <v/>
      </c>
      <c r="L457" s="11"/>
    </row>
    <row r="458" customFormat="false" ht="15" hidden="false" customHeight="false" outlineLevel="0" collapsed="false">
      <c r="A458" s="10"/>
      <c r="B458" s="11"/>
      <c r="C458" s="11"/>
      <c r="D458" s="11"/>
      <c r="E458" s="11"/>
      <c r="F458" s="11"/>
      <c r="G458" s="11"/>
      <c r="H458" s="15" t="str">
        <f aca="false">IF(OR(D458="",F458=""),"",IF(F458&lt;=1,D458,D458*(1+F458/30)))</f>
        <v/>
      </c>
      <c r="I458" s="15" t="str">
        <f aca="false">IF(OR(D458="",F458="",G458=""),"",IF(F458+MAX(0,10-G458)&lt;=1,D458,D458*(1+(F458+MAX(0,10-G458))/30)))</f>
        <v/>
      </c>
      <c r="J458" s="16" t="str">
        <f aca="false">IF(A458="","",IF(AND(C458="yes",N(G458)&gt;=7),N(E458),0))</f>
        <v/>
      </c>
      <c r="K458" s="17" t="str">
        <f aca="false">IF(A458="","",A458-WEEKDAY(A458,3))</f>
        <v/>
      </c>
      <c r="L458" s="11"/>
    </row>
    <row r="459" customFormat="false" ht="15" hidden="false" customHeight="false" outlineLevel="0" collapsed="false">
      <c r="A459" s="10"/>
      <c r="B459" s="11"/>
      <c r="C459" s="11"/>
      <c r="D459" s="11"/>
      <c r="E459" s="11"/>
      <c r="F459" s="11"/>
      <c r="G459" s="11"/>
      <c r="H459" s="15" t="str">
        <f aca="false">IF(OR(D459="",F459=""),"",IF(F459&lt;=1,D459,D459*(1+F459/30)))</f>
        <v/>
      </c>
      <c r="I459" s="15" t="str">
        <f aca="false">IF(OR(D459="",F459="",G459=""),"",IF(F459+MAX(0,10-G459)&lt;=1,D459,D459*(1+(F459+MAX(0,10-G459))/30)))</f>
        <v/>
      </c>
      <c r="J459" s="16" t="str">
        <f aca="false">IF(A459="","",IF(AND(C459="yes",N(G459)&gt;=7),N(E459),0))</f>
        <v/>
      </c>
      <c r="K459" s="17" t="str">
        <f aca="false">IF(A459="","",A459-WEEKDAY(A459,3))</f>
        <v/>
      </c>
      <c r="L459" s="11"/>
    </row>
    <row r="460" customFormat="false" ht="15" hidden="false" customHeight="false" outlineLevel="0" collapsed="false">
      <c r="A460" s="10"/>
      <c r="B460" s="11"/>
      <c r="C460" s="11"/>
      <c r="D460" s="11"/>
      <c r="E460" s="11"/>
      <c r="F460" s="11"/>
      <c r="G460" s="11"/>
      <c r="H460" s="15" t="str">
        <f aca="false">IF(OR(D460="",F460=""),"",IF(F460&lt;=1,D460,D460*(1+F460/30)))</f>
        <v/>
      </c>
      <c r="I460" s="15" t="str">
        <f aca="false">IF(OR(D460="",F460="",G460=""),"",IF(F460+MAX(0,10-G460)&lt;=1,D460,D460*(1+(F460+MAX(0,10-G460))/30)))</f>
        <v/>
      </c>
      <c r="J460" s="16" t="str">
        <f aca="false">IF(A460="","",IF(AND(C460="yes",N(G460)&gt;=7),N(E460),0))</f>
        <v/>
      </c>
      <c r="K460" s="17" t="str">
        <f aca="false">IF(A460="","",A460-WEEKDAY(A460,3))</f>
        <v/>
      </c>
      <c r="L460" s="11"/>
    </row>
    <row r="461" customFormat="false" ht="15" hidden="false" customHeight="false" outlineLevel="0" collapsed="false">
      <c r="A461" s="10"/>
      <c r="B461" s="11"/>
      <c r="C461" s="11"/>
      <c r="D461" s="11"/>
      <c r="E461" s="11"/>
      <c r="F461" s="11"/>
      <c r="G461" s="11"/>
      <c r="H461" s="15" t="str">
        <f aca="false">IF(OR(D461="",F461=""),"",IF(F461&lt;=1,D461,D461*(1+F461/30)))</f>
        <v/>
      </c>
      <c r="I461" s="15" t="str">
        <f aca="false">IF(OR(D461="",F461="",G461=""),"",IF(F461+MAX(0,10-G461)&lt;=1,D461,D461*(1+(F461+MAX(0,10-G461))/30)))</f>
        <v/>
      </c>
      <c r="J461" s="16" t="str">
        <f aca="false">IF(A461="","",IF(AND(C461="yes",N(G461)&gt;=7),N(E461),0))</f>
        <v/>
      </c>
      <c r="K461" s="17" t="str">
        <f aca="false">IF(A461="","",A461-WEEKDAY(A461,3))</f>
        <v/>
      </c>
      <c r="L461" s="11"/>
    </row>
    <row r="462" customFormat="false" ht="15" hidden="false" customHeight="false" outlineLevel="0" collapsed="false">
      <c r="A462" s="10"/>
      <c r="B462" s="11"/>
      <c r="C462" s="11"/>
      <c r="D462" s="11"/>
      <c r="E462" s="11"/>
      <c r="F462" s="11"/>
      <c r="G462" s="11"/>
      <c r="H462" s="15" t="str">
        <f aca="false">IF(OR(D462="",F462=""),"",IF(F462&lt;=1,D462,D462*(1+F462/30)))</f>
        <v/>
      </c>
      <c r="I462" s="15" t="str">
        <f aca="false">IF(OR(D462="",F462="",G462=""),"",IF(F462+MAX(0,10-G462)&lt;=1,D462,D462*(1+(F462+MAX(0,10-G462))/30)))</f>
        <v/>
      </c>
      <c r="J462" s="16" t="str">
        <f aca="false">IF(A462="","",IF(AND(C462="yes",N(G462)&gt;=7),N(E462),0))</f>
        <v/>
      </c>
      <c r="K462" s="17" t="str">
        <f aca="false">IF(A462="","",A462-WEEKDAY(A462,3))</f>
        <v/>
      </c>
      <c r="L462" s="11"/>
    </row>
    <row r="463" customFormat="false" ht="15" hidden="false" customHeight="false" outlineLevel="0" collapsed="false">
      <c r="A463" s="10"/>
      <c r="B463" s="11"/>
      <c r="C463" s="11"/>
      <c r="D463" s="11"/>
      <c r="E463" s="11"/>
      <c r="F463" s="11"/>
      <c r="G463" s="11"/>
      <c r="H463" s="15" t="str">
        <f aca="false">IF(OR(D463="",F463=""),"",IF(F463&lt;=1,D463,D463*(1+F463/30)))</f>
        <v/>
      </c>
      <c r="I463" s="15" t="str">
        <f aca="false">IF(OR(D463="",F463="",G463=""),"",IF(F463+MAX(0,10-G463)&lt;=1,D463,D463*(1+(F463+MAX(0,10-G463))/30)))</f>
        <v/>
      </c>
      <c r="J463" s="16" t="str">
        <f aca="false">IF(A463="","",IF(AND(C463="yes",N(G463)&gt;=7),N(E463),0))</f>
        <v/>
      </c>
      <c r="K463" s="17" t="str">
        <f aca="false">IF(A463="","",A463-WEEKDAY(A463,3))</f>
        <v/>
      </c>
      <c r="L463" s="11"/>
    </row>
    <row r="464" customFormat="false" ht="15" hidden="false" customHeight="false" outlineLevel="0" collapsed="false">
      <c r="A464" s="10"/>
      <c r="B464" s="11"/>
      <c r="C464" s="11"/>
      <c r="D464" s="11"/>
      <c r="E464" s="11"/>
      <c r="F464" s="11"/>
      <c r="G464" s="11"/>
      <c r="H464" s="15" t="str">
        <f aca="false">IF(OR(D464="",F464=""),"",IF(F464&lt;=1,D464,D464*(1+F464/30)))</f>
        <v/>
      </c>
      <c r="I464" s="15" t="str">
        <f aca="false">IF(OR(D464="",F464="",G464=""),"",IF(F464+MAX(0,10-G464)&lt;=1,D464,D464*(1+(F464+MAX(0,10-G464))/30)))</f>
        <v/>
      </c>
      <c r="J464" s="16" t="str">
        <f aca="false">IF(A464="","",IF(AND(C464="yes",N(G464)&gt;=7),N(E464),0))</f>
        <v/>
      </c>
      <c r="K464" s="17" t="str">
        <f aca="false">IF(A464="","",A464-WEEKDAY(A464,3))</f>
        <v/>
      </c>
      <c r="L464" s="11"/>
    </row>
    <row r="465" customFormat="false" ht="15" hidden="false" customHeight="false" outlineLevel="0" collapsed="false">
      <c r="A465" s="10"/>
      <c r="B465" s="11"/>
      <c r="C465" s="11"/>
      <c r="D465" s="11"/>
      <c r="E465" s="11"/>
      <c r="F465" s="11"/>
      <c r="G465" s="11"/>
      <c r="H465" s="15" t="str">
        <f aca="false">IF(OR(D465="",F465=""),"",IF(F465&lt;=1,D465,D465*(1+F465/30)))</f>
        <v/>
      </c>
      <c r="I465" s="15" t="str">
        <f aca="false">IF(OR(D465="",F465="",G465=""),"",IF(F465+MAX(0,10-G465)&lt;=1,D465,D465*(1+(F465+MAX(0,10-G465))/30)))</f>
        <v/>
      </c>
      <c r="J465" s="16" t="str">
        <f aca="false">IF(A465="","",IF(AND(C465="yes",N(G465)&gt;=7),N(E465),0))</f>
        <v/>
      </c>
      <c r="K465" s="17" t="str">
        <f aca="false">IF(A465="","",A465-WEEKDAY(A465,3))</f>
        <v/>
      </c>
      <c r="L465" s="11"/>
    </row>
    <row r="466" customFormat="false" ht="15" hidden="false" customHeight="false" outlineLevel="0" collapsed="false">
      <c r="A466" s="10"/>
      <c r="B466" s="11"/>
      <c r="C466" s="11"/>
      <c r="D466" s="11"/>
      <c r="E466" s="11"/>
      <c r="F466" s="11"/>
      <c r="G466" s="11"/>
      <c r="H466" s="15" t="str">
        <f aca="false">IF(OR(D466="",F466=""),"",IF(F466&lt;=1,D466,D466*(1+F466/30)))</f>
        <v/>
      </c>
      <c r="I466" s="15" t="str">
        <f aca="false">IF(OR(D466="",F466="",G466=""),"",IF(F466+MAX(0,10-G466)&lt;=1,D466,D466*(1+(F466+MAX(0,10-G466))/30)))</f>
        <v/>
      </c>
      <c r="J466" s="16" t="str">
        <f aca="false">IF(A466="","",IF(AND(C466="yes",N(G466)&gt;=7),N(E466),0))</f>
        <v/>
      </c>
      <c r="K466" s="17" t="str">
        <f aca="false">IF(A466="","",A466-WEEKDAY(A466,3))</f>
        <v/>
      </c>
      <c r="L466" s="11"/>
    </row>
    <row r="467" customFormat="false" ht="15" hidden="false" customHeight="false" outlineLevel="0" collapsed="false">
      <c r="A467" s="10"/>
      <c r="B467" s="11"/>
      <c r="C467" s="11"/>
      <c r="D467" s="11"/>
      <c r="E467" s="11"/>
      <c r="F467" s="11"/>
      <c r="G467" s="11"/>
      <c r="H467" s="15" t="str">
        <f aca="false">IF(OR(D467="",F467=""),"",IF(F467&lt;=1,D467,D467*(1+F467/30)))</f>
        <v/>
      </c>
      <c r="I467" s="15" t="str">
        <f aca="false">IF(OR(D467="",F467="",G467=""),"",IF(F467+MAX(0,10-G467)&lt;=1,D467,D467*(1+(F467+MAX(0,10-G467))/30)))</f>
        <v/>
      </c>
      <c r="J467" s="16" t="str">
        <f aca="false">IF(A467="","",IF(AND(C467="yes",N(G467)&gt;=7),N(E467),0))</f>
        <v/>
      </c>
      <c r="K467" s="17" t="str">
        <f aca="false">IF(A467="","",A467-WEEKDAY(A467,3))</f>
        <v/>
      </c>
      <c r="L467" s="11"/>
    </row>
    <row r="468" customFormat="false" ht="15" hidden="false" customHeight="false" outlineLevel="0" collapsed="false">
      <c r="A468" s="10"/>
      <c r="B468" s="11"/>
      <c r="C468" s="11"/>
      <c r="D468" s="11"/>
      <c r="E468" s="11"/>
      <c r="F468" s="11"/>
      <c r="G468" s="11"/>
      <c r="H468" s="15" t="str">
        <f aca="false">IF(OR(D468="",F468=""),"",IF(F468&lt;=1,D468,D468*(1+F468/30)))</f>
        <v/>
      </c>
      <c r="I468" s="15" t="str">
        <f aca="false">IF(OR(D468="",F468="",G468=""),"",IF(F468+MAX(0,10-G468)&lt;=1,D468,D468*(1+(F468+MAX(0,10-G468))/30)))</f>
        <v/>
      </c>
      <c r="J468" s="16" t="str">
        <f aca="false">IF(A468="","",IF(AND(C468="yes",N(G468)&gt;=7),N(E468),0))</f>
        <v/>
      </c>
      <c r="K468" s="17" t="str">
        <f aca="false">IF(A468="","",A468-WEEKDAY(A468,3))</f>
        <v/>
      </c>
      <c r="L468" s="11"/>
    </row>
    <row r="469" customFormat="false" ht="15" hidden="false" customHeight="false" outlineLevel="0" collapsed="false">
      <c r="A469" s="10"/>
      <c r="B469" s="11"/>
      <c r="C469" s="11"/>
      <c r="D469" s="11"/>
      <c r="E469" s="11"/>
      <c r="F469" s="11"/>
      <c r="G469" s="11"/>
      <c r="H469" s="15" t="str">
        <f aca="false">IF(OR(D469="",F469=""),"",IF(F469&lt;=1,D469,D469*(1+F469/30)))</f>
        <v/>
      </c>
      <c r="I469" s="15" t="str">
        <f aca="false">IF(OR(D469="",F469="",G469=""),"",IF(F469+MAX(0,10-G469)&lt;=1,D469,D469*(1+(F469+MAX(0,10-G469))/30)))</f>
        <v/>
      </c>
      <c r="J469" s="16" t="str">
        <f aca="false">IF(A469="","",IF(AND(C469="yes",N(G469)&gt;=7),N(E469),0))</f>
        <v/>
      </c>
      <c r="K469" s="17" t="str">
        <f aca="false">IF(A469="","",A469-WEEKDAY(A469,3))</f>
        <v/>
      </c>
      <c r="L469" s="11"/>
    </row>
    <row r="470" customFormat="false" ht="15" hidden="false" customHeight="false" outlineLevel="0" collapsed="false">
      <c r="A470" s="10"/>
      <c r="B470" s="11"/>
      <c r="C470" s="11"/>
      <c r="D470" s="11"/>
      <c r="E470" s="11"/>
      <c r="F470" s="11"/>
      <c r="G470" s="11"/>
      <c r="H470" s="15" t="str">
        <f aca="false">IF(OR(D470="",F470=""),"",IF(F470&lt;=1,D470,D470*(1+F470/30)))</f>
        <v/>
      </c>
      <c r="I470" s="15" t="str">
        <f aca="false">IF(OR(D470="",F470="",G470=""),"",IF(F470+MAX(0,10-G470)&lt;=1,D470,D470*(1+(F470+MAX(0,10-G470))/30)))</f>
        <v/>
      </c>
      <c r="J470" s="16" t="str">
        <f aca="false">IF(A470="","",IF(AND(C470="yes",N(G470)&gt;=7),N(E470),0))</f>
        <v/>
      </c>
      <c r="K470" s="17" t="str">
        <f aca="false">IF(A470="","",A470-WEEKDAY(A470,3))</f>
        <v/>
      </c>
      <c r="L470" s="11"/>
    </row>
    <row r="471" customFormat="false" ht="15" hidden="false" customHeight="false" outlineLevel="0" collapsed="false">
      <c r="A471" s="10"/>
      <c r="B471" s="11"/>
      <c r="C471" s="11"/>
      <c r="D471" s="11"/>
      <c r="E471" s="11"/>
      <c r="F471" s="11"/>
      <c r="G471" s="11"/>
      <c r="H471" s="15" t="str">
        <f aca="false">IF(OR(D471="",F471=""),"",IF(F471&lt;=1,D471,D471*(1+F471/30)))</f>
        <v/>
      </c>
      <c r="I471" s="15" t="str">
        <f aca="false">IF(OR(D471="",F471="",G471=""),"",IF(F471+MAX(0,10-G471)&lt;=1,D471,D471*(1+(F471+MAX(0,10-G471))/30)))</f>
        <v/>
      </c>
      <c r="J471" s="16" t="str">
        <f aca="false">IF(A471="","",IF(AND(C471="yes",N(G471)&gt;=7),N(E471),0))</f>
        <v/>
      </c>
      <c r="K471" s="17" t="str">
        <f aca="false">IF(A471="","",A471-WEEKDAY(A471,3))</f>
        <v/>
      </c>
      <c r="L471" s="11"/>
    </row>
    <row r="472" customFormat="false" ht="15" hidden="false" customHeight="false" outlineLevel="0" collapsed="false">
      <c r="A472" s="10"/>
      <c r="B472" s="11"/>
      <c r="C472" s="11"/>
      <c r="D472" s="11"/>
      <c r="E472" s="11"/>
      <c r="F472" s="11"/>
      <c r="G472" s="11"/>
      <c r="H472" s="15" t="str">
        <f aca="false">IF(OR(D472="",F472=""),"",IF(F472&lt;=1,D472,D472*(1+F472/30)))</f>
        <v/>
      </c>
      <c r="I472" s="15" t="str">
        <f aca="false">IF(OR(D472="",F472="",G472=""),"",IF(F472+MAX(0,10-G472)&lt;=1,D472,D472*(1+(F472+MAX(0,10-G472))/30)))</f>
        <v/>
      </c>
      <c r="J472" s="16" t="str">
        <f aca="false">IF(A472="","",IF(AND(C472="yes",N(G472)&gt;=7),N(E472),0))</f>
        <v/>
      </c>
      <c r="K472" s="17" t="str">
        <f aca="false">IF(A472="","",A472-WEEKDAY(A472,3))</f>
        <v/>
      </c>
      <c r="L472" s="11"/>
    </row>
    <row r="473" customFormat="false" ht="15" hidden="false" customHeight="false" outlineLevel="0" collapsed="false">
      <c r="A473" s="10"/>
      <c r="B473" s="11"/>
      <c r="C473" s="11"/>
      <c r="D473" s="11"/>
      <c r="E473" s="11"/>
      <c r="F473" s="11"/>
      <c r="G473" s="11"/>
      <c r="H473" s="15" t="str">
        <f aca="false">IF(OR(D473="",F473=""),"",IF(F473&lt;=1,D473,D473*(1+F473/30)))</f>
        <v/>
      </c>
      <c r="I473" s="15" t="str">
        <f aca="false">IF(OR(D473="",F473="",G473=""),"",IF(F473+MAX(0,10-G473)&lt;=1,D473,D473*(1+(F473+MAX(0,10-G473))/30)))</f>
        <v/>
      </c>
      <c r="J473" s="16" t="str">
        <f aca="false">IF(A473="","",IF(AND(C473="yes",N(G473)&gt;=7),N(E473),0))</f>
        <v/>
      </c>
      <c r="K473" s="17" t="str">
        <f aca="false">IF(A473="","",A473-WEEKDAY(A473,3))</f>
        <v/>
      </c>
      <c r="L473" s="11"/>
    </row>
    <row r="474" customFormat="false" ht="15" hidden="false" customHeight="false" outlineLevel="0" collapsed="false">
      <c r="A474" s="10"/>
      <c r="B474" s="11"/>
      <c r="C474" s="11"/>
      <c r="D474" s="11"/>
      <c r="E474" s="11"/>
      <c r="F474" s="11"/>
      <c r="G474" s="11"/>
      <c r="H474" s="15" t="str">
        <f aca="false">IF(OR(D474="",F474=""),"",IF(F474&lt;=1,D474,D474*(1+F474/30)))</f>
        <v/>
      </c>
      <c r="I474" s="15" t="str">
        <f aca="false">IF(OR(D474="",F474="",G474=""),"",IF(F474+MAX(0,10-G474)&lt;=1,D474,D474*(1+(F474+MAX(0,10-G474))/30)))</f>
        <v/>
      </c>
      <c r="J474" s="16" t="str">
        <f aca="false">IF(A474="","",IF(AND(C474="yes",N(G474)&gt;=7),N(E474),0))</f>
        <v/>
      </c>
      <c r="K474" s="17" t="str">
        <f aca="false">IF(A474="","",A474-WEEKDAY(A474,3))</f>
        <v/>
      </c>
      <c r="L474" s="11"/>
    </row>
    <row r="475" customFormat="false" ht="15" hidden="false" customHeight="false" outlineLevel="0" collapsed="false">
      <c r="A475" s="10"/>
      <c r="B475" s="11"/>
      <c r="C475" s="11"/>
      <c r="D475" s="11"/>
      <c r="E475" s="11"/>
      <c r="F475" s="11"/>
      <c r="G475" s="11"/>
      <c r="H475" s="15" t="str">
        <f aca="false">IF(OR(D475="",F475=""),"",IF(F475&lt;=1,D475,D475*(1+F475/30)))</f>
        <v/>
      </c>
      <c r="I475" s="15" t="str">
        <f aca="false">IF(OR(D475="",F475="",G475=""),"",IF(F475+MAX(0,10-G475)&lt;=1,D475,D475*(1+(F475+MAX(0,10-G475))/30)))</f>
        <v/>
      </c>
      <c r="J475" s="16" t="str">
        <f aca="false">IF(A475="","",IF(AND(C475="yes",N(G475)&gt;=7),N(E475),0))</f>
        <v/>
      </c>
      <c r="K475" s="17" t="str">
        <f aca="false">IF(A475="","",A475-WEEKDAY(A475,3))</f>
        <v/>
      </c>
      <c r="L475" s="11"/>
    </row>
    <row r="476" customFormat="false" ht="15" hidden="false" customHeight="false" outlineLevel="0" collapsed="false">
      <c r="A476" s="10"/>
      <c r="B476" s="11"/>
      <c r="C476" s="11"/>
      <c r="D476" s="11"/>
      <c r="E476" s="11"/>
      <c r="F476" s="11"/>
      <c r="G476" s="11"/>
      <c r="H476" s="15" t="str">
        <f aca="false">IF(OR(D476="",F476=""),"",IF(F476&lt;=1,D476,D476*(1+F476/30)))</f>
        <v/>
      </c>
      <c r="I476" s="15" t="str">
        <f aca="false">IF(OR(D476="",F476="",G476=""),"",IF(F476+MAX(0,10-G476)&lt;=1,D476,D476*(1+(F476+MAX(0,10-G476))/30)))</f>
        <v/>
      </c>
      <c r="J476" s="16" t="str">
        <f aca="false">IF(A476="","",IF(AND(C476="yes",N(G476)&gt;=7),N(E476),0))</f>
        <v/>
      </c>
      <c r="K476" s="17" t="str">
        <f aca="false">IF(A476="","",A476-WEEKDAY(A476,3))</f>
        <v/>
      </c>
      <c r="L476" s="11"/>
    </row>
    <row r="477" customFormat="false" ht="15" hidden="false" customHeight="false" outlineLevel="0" collapsed="false">
      <c r="A477" s="10"/>
      <c r="B477" s="11"/>
      <c r="C477" s="11"/>
      <c r="D477" s="11"/>
      <c r="E477" s="11"/>
      <c r="F477" s="11"/>
      <c r="G477" s="11"/>
      <c r="H477" s="15" t="str">
        <f aca="false">IF(OR(D477="",F477=""),"",IF(F477&lt;=1,D477,D477*(1+F477/30)))</f>
        <v/>
      </c>
      <c r="I477" s="15" t="str">
        <f aca="false">IF(OR(D477="",F477="",G477=""),"",IF(F477+MAX(0,10-G477)&lt;=1,D477,D477*(1+(F477+MAX(0,10-G477))/30)))</f>
        <v/>
      </c>
      <c r="J477" s="16" t="str">
        <f aca="false">IF(A477="","",IF(AND(C477="yes",N(G477)&gt;=7),N(E477),0))</f>
        <v/>
      </c>
      <c r="K477" s="17" t="str">
        <f aca="false">IF(A477="","",A477-WEEKDAY(A477,3))</f>
        <v/>
      </c>
      <c r="L477" s="11"/>
    </row>
    <row r="478" customFormat="false" ht="15" hidden="false" customHeight="false" outlineLevel="0" collapsed="false">
      <c r="A478" s="10"/>
      <c r="B478" s="11"/>
      <c r="C478" s="11"/>
      <c r="D478" s="11"/>
      <c r="E478" s="11"/>
      <c r="F478" s="11"/>
      <c r="G478" s="11"/>
      <c r="H478" s="15" t="str">
        <f aca="false">IF(OR(D478="",F478=""),"",IF(F478&lt;=1,D478,D478*(1+F478/30)))</f>
        <v/>
      </c>
      <c r="I478" s="15" t="str">
        <f aca="false">IF(OR(D478="",F478="",G478=""),"",IF(F478+MAX(0,10-G478)&lt;=1,D478,D478*(1+(F478+MAX(0,10-G478))/30)))</f>
        <v/>
      </c>
      <c r="J478" s="16" t="str">
        <f aca="false">IF(A478="","",IF(AND(C478="yes",N(G478)&gt;=7),N(E478),0))</f>
        <v/>
      </c>
      <c r="K478" s="17" t="str">
        <f aca="false">IF(A478="","",A478-WEEKDAY(A478,3))</f>
        <v/>
      </c>
      <c r="L478" s="11"/>
    </row>
    <row r="479" customFormat="false" ht="15" hidden="false" customHeight="false" outlineLevel="0" collapsed="false">
      <c r="A479" s="10"/>
      <c r="B479" s="11"/>
      <c r="C479" s="11"/>
      <c r="D479" s="11"/>
      <c r="E479" s="11"/>
      <c r="F479" s="11"/>
      <c r="G479" s="11"/>
      <c r="H479" s="15" t="str">
        <f aca="false">IF(OR(D479="",F479=""),"",IF(F479&lt;=1,D479,D479*(1+F479/30)))</f>
        <v/>
      </c>
      <c r="I479" s="15" t="str">
        <f aca="false">IF(OR(D479="",F479="",G479=""),"",IF(F479+MAX(0,10-G479)&lt;=1,D479,D479*(1+(F479+MAX(0,10-G479))/30)))</f>
        <v/>
      </c>
      <c r="J479" s="16" t="str">
        <f aca="false">IF(A479="","",IF(AND(C479="yes",N(G479)&gt;=7),N(E479),0))</f>
        <v/>
      </c>
      <c r="K479" s="17" t="str">
        <f aca="false">IF(A479="","",A479-WEEKDAY(A479,3))</f>
        <v/>
      </c>
      <c r="L479" s="11"/>
    </row>
    <row r="480" customFormat="false" ht="15" hidden="false" customHeight="false" outlineLevel="0" collapsed="false">
      <c r="A480" s="10"/>
      <c r="B480" s="11"/>
      <c r="C480" s="11"/>
      <c r="D480" s="11"/>
      <c r="E480" s="11"/>
      <c r="F480" s="11"/>
      <c r="G480" s="11"/>
      <c r="H480" s="15" t="str">
        <f aca="false">IF(OR(D480="",F480=""),"",IF(F480&lt;=1,D480,D480*(1+F480/30)))</f>
        <v/>
      </c>
      <c r="I480" s="15" t="str">
        <f aca="false">IF(OR(D480="",F480="",G480=""),"",IF(F480+MAX(0,10-G480)&lt;=1,D480,D480*(1+(F480+MAX(0,10-G480))/30)))</f>
        <v/>
      </c>
      <c r="J480" s="16" t="str">
        <f aca="false">IF(A480="","",IF(AND(C480="yes",N(G480)&gt;=7),N(E480),0))</f>
        <v/>
      </c>
      <c r="K480" s="17" t="str">
        <f aca="false">IF(A480="","",A480-WEEKDAY(A480,3))</f>
        <v/>
      </c>
      <c r="L480" s="11"/>
    </row>
    <row r="481" customFormat="false" ht="15" hidden="false" customHeight="false" outlineLevel="0" collapsed="false">
      <c r="A481" s="10"/>
      <c r="B481" s="11"/>
      <c r="C481" s="11"/>
      <c r="D481" s="11"/>
      <c r="E481" s="11"/>
      <c r="F481" s="11"/>
      <c r="G481" s="11"/>
      <c r="H481" s="15" t="str">
        <f aca="false">IF(OR(D481="",F481=""),"",IF(F481&lt;=1,D481,D481*(1+F481/30)))</f>
        <v/>
      </c>
      <c r="I481" s="15" t="str">
        <f aca="false">IF(OR(D481="",F481="",G481=""),"",IF(F481+MAX(0,10-G481)&lt;=1,D481,D481*(1+(F481+MAX(0,10-G481))/30)))</f>
        <v/>
      </c>
      <c r="J481" s="16" t="str">
        <f aca="false">IF(A481="","",IF(AND(C481="yes",N(G481)&gt;=7),N(E481),0))</f>
        <v/>
      </c>
      <c r="K481" s="17" t="str">
        <f aca="false">IF(A481="","",A481-WEEKDAY(A481,3))</f>
        <v/>
      </c>
      <c r="L481" s="11"/>
    </row>
    <row r="482" customFormat="false" ht="15" hidden="false" customHeight="false" outlineLevel="0" collapsed="false">
      <c r="A482" s="10"/>
      <c r="B482" s="11"/>
      <c r="C482" s="11"/>
      <c r="D482" s="11"/>
      <c r="E482" s="11"/>
      <c r="F482" s="11"/>
      <c r="G482" s="11"/>
      <c r="H482" s="15" t="str">
        <f aca="false">IF(OR(D482="",F482=""),"",IF(F482&lt;=1,D482,D482*(1+F482/30)))</f>
        <v/>
      </c>
      <c r="I482" s="15" t="str">
        <f aca="false">IF(OR(D482="",F482="",G482=""),"",IF(F482+MAX(0,10-G482)&lt;=1,D482,D482*(1+(F482+MAX(0,10-G482))/30)))</f>
        <v/>
      </c>
      <c r="J482" s="16" t="str">
        <f aca="false">IF(A482="","",IF(AND(C482="yes",N(G482)&gt;=7),N(E482),0))</f>
        <v/>
      </c>
      <c r="K482" s="17" t="str">
        <f aca="false">IF(A482="","",A482-WEEKDAY(A482,3))</f>
        <v/>
      </c>
      <c r="L482" s="11"/>
    </row>
    <row r="483" customFormat="false" ht="15" hidden="false" customHeight="false" outlineLevel="0" collapsed="false">
      <c r="A483" s="10"/>
      <c r="B483" s="11"/>
      <c r="C483" s="11"/>
      <c r="D483" s="11"/>
      <c r="E483" s="11"/>
      <c r="F483" s="11"/>
      <c r="G483" s="11"/>
      <c r="H483" s="15" t="str">
        <f aca="false">IF(OR(D483="",F483=""),"",IF(F483&lt;=1,D483,D483*(1+F483/30)))</f>
        <v/>
      </c>
      <c r="I483" s="15" t="str">
        <f aca="false">IF(OR(D483="",F483="",G483=""),"",IF(F483+MAX(0,10-G483)&lt;=1,D483,D483*(1+(F483+MAX(0,10-G483))/30)))</f>
        <v/>
      </c>
      <c r="J483" s="16" t="str">
        <f aca="false">IF(A483="","",IF(AND(C483="yes",N(G483)&gt;=7),N(E483),0))</f>
        <v/>
      </c>
      <c r="K483" s="17" t="str">
        <f aca="false">IF(A483="","",A483-WEEKDAY(A483,3))</f>
        <v/>
      </c>
      <c r="L483" s="11"/>
    </row>
    <row r="484" customFormat="false" ht="15" hidden="false" customHeight="false" outlineLevel="0" collapsed="false">
      <c r="A484" s="10"/>
      <c r="B484" s="11"/>
      <c r="C484" s="11"/>
      <c r="D484" s="11"/>
      <c r="E484" s="11"/>
      <c r="F484" s="11"/>
      <c r="G484" s="11"/>
      <c r="H484" s="15" t="str">
        <f aca="false">IF(OR(D484="",F484=""),"",IF(F484&lt;=1,D484,D484*(1+F484/30)))</f>
        <v/>
      </c>
      <c r="I484" s="15" t="str">
        <f aca="false">IF(OR(D484="",F484="",G484=""),"",IF(F484+MAX(0,10-G484)&lt;=1,D484,D484*(1+(F484+MAX(0,10-G484))/30)))</f>
        <v/>
      </c>
      <c r="J484" s="16" t="str">
        <f aca="false">IF(A484="","",IF(AND(C484="yes",N(G484)&gt;=7),N(E484),0))</f>
        <v/>
      </c>
      <c r="K484" s="17" t="str">
        <f aca="false">IF(A484="","",A484-WEEKDAY(A484,3))</f>
        <v/>
      </c>
      <c r="L484" s="11"/>
    </row>
    <row r="485" customFormat="false" ht="15" hidden="false" customHeight="false" outlineLevel="0" collapsed="false">
      <c r="A485" s="10"/>
      <c r="B485" s="11"/>
      <c r="C485" s="11"/>
      <c r="D485" s="11"/>
      <c r="E485" s="11"/>
      <c r="F485" s="11"/>
      <c r="G485" s="11"/>
      <c r="H485" s="15" t="str">
        <f aca="false">IF(OR(D485="",F485=""),"",IF(F485&lt;=1,D485,D485*(1+F485/30)))</f>
        <v/>
      </c>
      <c r="I485" s="15" t="str">
        <f aca="false">IF(OR(D485="",F485="",G485=""),"",IF(F485+MAX(0,10-G485)&lt;=1,D485,D485*(1+(F485+MAX(0,10-G485))/30)))</f>
        <v/>
      </c>
      <c r="J485" s="16" t="str">
        <f aca="false">IF(A485="","",IF(AND(C485="yes",N(G485)&gt;=7),N(E485),0))</f>
        <v/>
      </c>
      <c r="K485" s="17" t="str">
        <f aca="false">IF(A485="","",A485-WEEKDAY(A485,3))</f>
        <v/>
      </c>
      <c r="L485" s="11"/>
    </row>
    <row r="486" customFormat="false" ht="15" hidden="false" customHeight="false" outlineLevel="0" collapsed="false">
      <c r="A486" s="10"/>
      <c r="B486" s="11"/>
      <c r="C486" s="11"/>
      <c r="D486" s="11"/>
      <c r="E486" s="11"/>
      <c r="F486" s="11"/>
      <c r="G486" s="11"/>
      <c r="H486" s="15" t="str">
        <f aca="false">IF(OR(D486="",F486=""),"",IF(F486&lt;=1,D486,D486*(1+F486/30)))</f>
        <v/>
      </c>
      <c r="I486" s="15" t="str">
        <f aca="false">IF(OR(D486="",F486="",G486=""),"",IF(F486+MAX(0,10-G486)&lt;=1,D486,D486*(1+(F486+MAX(0,10-G486))/30)))</f>
        <v/>
      </c>
      <c r="J486" s="16" t="str">
        <f aca="false">IF(A486="","",IF(AND(C486="yes",N(G486)&gt;=7),N(E486),0))</f>
        <v/>
      </c>
      <c r="K486" s="17" t="str">
        <f aca="false">IF(A486="","",A486-WEEKDAY(A486,3))</f>
        <v/>
      </c>
      <c r="L486" s="11"/>
    </row>
    <row r="487" customFormat="false" ht="15" hidden="false" customHeight="false" outlineLevel="0" collapsed="false">
      <c r="A487" s="10"/>
      <c r="B487" s="11"/>
      <c r="C487" s="11"/>
      <c r="D487" s="11"/>
      <c r="E487" s="11"/>
      <c r="F487" s="11"/>
      <c r="G487" s="11"/>
      <c r="H487" s="15" t="str">
        <f aca="false">IF(OR(D487="",F487=""),"",IF(F487&lt;=1,D487,D487*(1+F487/30)))</f>
        <v/>
      </c>
      <c r="I487" s="15" t="str">
        <f aca="false">IF(OR(D487="",F487="",G487=""),"",IF(F487+MAX(0,10-G487)&lt;=1,D487,D487*(1+(F487+MAX(0,10-G487))/30)))</f>
        <v/>
      </c>
      <c r="J487" s="16" t="str">
        <f aca="false">IF(A487="","",IF(AND(C487="yes",N(G487)&gt;=7),N(E487),0))</f>
        <v/>
      </c>
      <c r="K487" s="17" t="str">
        <f aca="false">IF(A487="","",A487-WEEKDAY(A487,3))</f>
        <v/>
      </c>
      <c r="L487" s="11"/>
    </row>
    <row r="488" customFormat="false" ht="15" hidden="false" customHeight="false" outlineLevel="0" collapsed="false">
      <c r="A488" s="10"/>
      <c r="B488" s="11"/>
      <c r="C488" s="11"/>
      <c r="D488" s="11"/>
      <c r="E488" s="11"/>
      <c r="F488" s="11"/>
      <c r="G488" s="11"/>
      <c r="H488" s="15" t="str">
        <f aca="false">IF(OR(D488="",F488=""),"",IF(F488&lt;=1,D488,D488*(1+F488/30)))</f>
        <v/>
      </c>
      <c r="I488" s="15" t="str">
        <f aca="false">IF(OR(D488="",F488="",G488=""),"",IF(F488+MAX(0,10-G488)&lt;=1,D488,D488*(1+(F488+MAX(0,10-G488))/30)))</f>
        <v/>
      </c>
      <c r="J488" s="16" t="str">
        <f aca="false">IF(A488="","",IF(AND(C488="yes",N(G488)&gt;=7),N(E488),0))</f>
        <v/>
      </c>
      <c r="K488" s="17" t="str">
        <f aca="false">IF(A488="","",A488-WEEKDAY(A488,3))</f>
        <v/>
      </c>
      <c r="L488" s="11"/>
    </row>
    <row r="489" customFormat="false" ht="15" hidden="false" customHeight="false" outlineLevel="0" collapsed="false">
      <c r="A489" s="10"/>
      <c r="B489" s="11"/>
      <c r="C489" s="11"/>
      <c r="D489" s="11"/>
      <c r="E489" s="11"/>
      <c r="F489" s="11"/>
      <c r="G489" s="11"/>
      <c r="H489" s="15" t="str">
        <f aca="false">IF(OR(D489="",F489=""),"",IF(F489&lt;=1,D489,D489*(1+F489/30)))</f>
        <v/>
      </c>
      <c r="I489" s="15" t="str">
        <f aca="false">IF(OR(D489="",F489="",G489=""),"",IF(F489+MAX(0,10-G489)&lt;=1,D489,D489*(1+(F489+MAX(0,10-G489))/30)))</f>
        <v/>
      </c>
      <c r="J489" s="16" t="str">
        <f aca="false">IF(A489="","",IF(AND(C489="yes",N(G489)&gt;=7),N(E489),0))</f>
        <v/>
      </c>
      <c r="K489" s="17" t="str">
        <f aca="false">IF(A489="","",A489-WEEKDAY(A489,3))</f>
        <v/>
      </c>
      <c r="L489" s="11"/>
    </row>
    <row r="490" customFormat="false" ht="15" hidden="false" customHeight="false" outlineLevel="0" collapsed="false">
      <c r="A490" s="10"/>
      <c r="B490" s="11"/>
      <c r="C490" s="11"/>
      <c r="D490" s="11"/>
      <c r="E490" s="11"/>
      <c r="F490" s="11"/>
      <c r="G490" s="11"/>
      <c r="H490" s="15" t="str">
        <f aca="false">IF(OR(D490="",F490=""),"",IF(F490&lt;=1,D490,D490*(1+F490/30)))</f>
        <v/>
      </c>
      <c r="I490" s="15" t="str">
        <f aca="false">IF(OR(D490="",F490="",G490=""),"",IF(F490+MAX(0,10-G490)&lt;=1,D490,D490*(1+(F490+MAX(0,10-G490))/30)))</f>
        <v/>
      </c>
      <c r="J490" s="16" t="str">
        <f aca="false">IF(A490="","",IF(AND(C490="yes",N(G490)&gt;=7),N(E490),0))</f>
        <v/>
      </c>
      <c r="K490" s="17" t="str">
        <f aca="false">IF(A490="","",A490-WEEKDAY(A490,3))</f>
        <v/>
      </c>
      <c r="L490" s="11"/>
    </row>
    <row r="491" customFormat="false" ht="15" hidden="false" customHeight="false" outlineLevel="0" collapsed="false">
      <c r="A491" s="10"/>
      <c r="B491" s="11"/>
      <c r="C491" s="11"/>
      <c r="D491" s="11"/>
      <c r="E491" s="11"/>
      <c r="F491" s="11"/>
      <c r="G491" s="11"/>
      <c r="H491" s="15" t="str">
        <f aca="false">IF(OR(D491="",F491=""),"",IF(F491&lt;=1,D491,D491*(1+F491/30)))</f>
        <v/>
      </c>
      <c r="I491" s="15" t="str">
        <f aca="false">IF(OR(D491="",F491="",G491=""),"",IF(F491+MAX(0,10-G491)&lt;=1,D491,D491*(1+(F491+MAX(0,10-G491))/30)))</f>
        <v/>
      </c>
      <c r="J491" s="16" t="str">
        <f aca="false">IF(A491="","",IF(AND(C491="yes",N(G491)&gt;=7),N(E491),0))</f>
        <v/>
      </c>
      <c r="K491" s="17" t="str">
        <f aca="false">IF(A491="","",A491-WEEKDAY(A491,3))</f>
        <v/>
      </c>
      <c r="L491" s="11"/>
    </row>
    <row r="492" customFormat="false" ht="15" hidden="false" customHeight="false" outlineLevel="0" collapsed="false">
      <c r="A492" s="10"/>
      <c r="B492" s="11"/>
      <c r="C492" s="11"/>
      <c r="D492" s="11"/>
      <c r="E492" s="11"/>
      <c r="F492" s="11"/>
      <c r="G492" s="11"/>
      <c r="H492" s="15" t="str">
        <f aca="false">IF(OR(D492="",F492=""),"",IF(F492&lt;=1,D492,D492*(1+F492/30)))</f>
        <v/>
      </c>
      <c r="I492" s="15" t="str">
        <f aca="false">IF(OR(D492="",F492="",G492=""),"",IF(F492+MAX(0,10-G492)&lt;=1,D492,D492*(1+(F492+MAX(0,10-G492))/30)))</f>
        <v/>
      </c>
      <c r="J492" s="16" t="str">
        <f aca="false">IF(A492="","",IF(AND(C492="yes",N(G492)&gt;=7),N(E492),0))</f>
        <v/>
      </c>
      <c r="K492" s="17" t="str">
        <f aca="false">IF(A492="","",A492-WEEKDAY(A492,3))</f>
        <v/>
      </c>
      <c r="L492" s="11"/>
    </row>
    <row r="493" customFormat="false" ht="15" hidden="false" customHeight="false" outlineLevel="0" collapsed="false">
      <c r="A493" s="10"/>
      <c r="B493" s="11"/>
      <c r="C493" s="11"/>
      <c r="D493" s="11"/>
      <c r="E493" s="11"/>
      <c r="F493" s="11"/>
      <c r="G493" s="11"/>
      <c r="H493" s="15" t="str">
        <f aca="false">IF(OR(D493="",F493=""),"",IF(F493&lt;=1,D493,D493*(1+F493/30)))</f>
        <v/>
      </c>
      <c r="I493" s="15" t="str">
        <f aca="false">IF(OR(D493="",F493="",G493=""),"",IF(F493+MAX(0,10-G493)&lt;=1,D493,D493*(1+(F493+MAX(0,10-G493))/30)))</f>
        <v/>
      </c>
      <c r="J493" s="16" t="str">
        <f aca="false">IF(A493="","",IF(AND(C493="yes",N(G493)&gt;=7),N(E493),0))</f>
        <v/>
      </c>
      <c r="K493" s="17" t="str">
        <f aca="false">IF(A493="","",A493-WEEKDAY(A493,3))</f>
        <v/>
      </c>
      <c r="L493" s="11"/>
    </row>
    <row r="494" customFormat="false" ht="15" hidden="false" customHeight="false" outlineLevel="0" collapsed="false">
      <c r="A494" s="10"/>
      <c r="B494" s="11"/>
      <c r="C494" s="11"/>
      <c r="D494" s="11"/>
      <c r="E494" s="11"/>
      <c r="F494" s="11"/>
      <c r="G494" s="11"/>
      <c r="H494" s="15" t="str">
        <f aca="false">IF(OR(D494="",F494=""),"",IF(F494&lt;=1,D494,D494*(1+F494/30)))</f>
        <v/>
      </c>
      <c r="I494" s="15" t="str">
        <f aca="false">IF(OR(D494="",F494="",G494=""),"",IF(F494+MAX(0,10-G494)&lt;=1,D494,D494*(1+(F494+MAX(0,10-G494))/30)))</f>
        <v/>
      </c>
      <c r="J494" s="16" t="str">
        <f aca="false">IF(A494="","",IF(AND(C494="yes",N(G494)&gt;=7),N(E494),0))</f>
        <v/>
      </c>
      <c r="K494" s="17" t="str">
        <f aca="false">IF(A494="","",A494-WEEKDAY(A494,3))</f>
        <v/>
      </c>
      <c r="L494" s="11"/>
    </row>
    <row r="495" customFormat="false" ht="15" hidden="false" customHeight="false" outlineLevel="0" collapsed="false">
      <c r="A495" s="10"/>
      <c r="B495" s="11"/>
      <c r="C495" s="11"/>
      <c r="D495" s="11"/>
      <c r="E495" s="11"/>
      <c r="F495" s="11"/>
      <c r="G495" s="11"/>
      <c r="H495" s="15" t="str">
        <f aca="false">IF(OR(D495="",F495=""),"",IF(F495&lt;=1,D495,D495*(1+F495/30)))</f>
        <v/>
      </c>
      <c r="I495" s="15" t="str">
        <f aca="false">IF(OR(D495="",F495="",G495=""),"",IF(F495+MAX(0,10-G495)&lt;=1,D495,D495*(1+(F495+MAX(0,10-G495))/30)))</f>
        <v/>
      </c>
      <c r="J495" s="16" t="str">
        <f aca="false">IF(A495="","",IF(AND(C495="yes",N(G495)&gt;=7),N(E495),0))</f>
        <v/>
      </c>
      <c r="K495" s="17" t="str">
        <f aca="false">IF(A495="","",A495-WEEKDAY(A495,3))</f>
        <v/>
      </c>
      <c r="L495" s="11"/>
    </row>
    <row r="496" customFormat="false" ht="15" hidden="false" customHeight="false" outlineLevel="0" collapsed="false">
      <c r="A496" s="10"/>
      <c r="B496" s="11"/>
      <c r="C496" s="11"/>
      <c r="D496" s="11"/>
      <c r="E496" s="11"/>
      <c r="F496" s="11"/>
      <c r="G496" s="11"/>
      <c r="H496" s="15" t="str">
        <f aca="false">IF(OR(D496="",F496=""),"",IF(F496&lt;=1,D496,D496*(1+F496/30)))</f>
        <v/>
      </c>
      <c r="I496" s="15" t="str">
        <f aca="false">IF(OR(D496="",F496="",G496=""),"",IF(F496+MAX(0,10-G496)&lt;=1,D496,D496*(1+(F496+MAX(0,10-G496))/30)))</f>
        <v/>
      </c>
      <c r="J496" s="16" t="str">
        <f aca="false">IF(A496="","",IF(AND(C496="yes",N(G496)&gt;=7),N(E496),0))</f>
        <v/>
      </c>
      <c r="K496" s="17" t="str">
        <f aca="false">IF(A496="","",A496-WEEKDAY(A496,3))</f>
        <v/>
      </c>
      <c r="L496" s="11"/>
    </row>
    <row r="497" customFormat="false" ht="15" hidden="false" customHeight="false" outlineLevel="0" collapsed="false">
      <c r="A497" s="10"/>
      <c r="B497" s="11"/>
      <c r="C497" s="11"/>
      <c r="D497" s="11"/>
      <c r="E497" s="11"/>
      <c r="F497" s="11"/>
      <c r="G497" s="11"/>
      <c r="H497" s="15" t="str">
        <f aca="false">IF(OR(D497="",F497=""),"",IF(F497&lt;=1,D497,D497*(1+F497/30)))</f>
        <v/>
      </c>
      <c r="I497" s="15" t="str">
        <f aca="false">IF(OR(D497="",F497="",G497=""),"",IF(F497+MAX(0,10-G497)&lt;=1,D497,D497*(1+(F497+MAX(0,10-G497))/30)))</f>
        <v/>
      </c>
      <c r="J497" s="16" t="str">
        <f aca="false">IF(A497="","",IF(AND(C497="yes",N(G497)&gt;=7),N(E497),0))</f>
        <v/>
      </c>
      <c r="K497" s="17" t="str">
        <f aca="false">IF(A497="","",A497-WEEKDAY(A497,3))</f>
        <v/>
      </c>
      <c r="L497" s="11"/>
    </row>
    <row r="498" customFormat="false" ht="15" hidden="false" customHeight="false" outlineLevel="0" collapsed="false">
      <c r="A498" s="10"/>
      <c r="B498" s="11"/>
      <c r="C498" s="11"/>
      <c r="D498" s="11"/>
      <c r="E498" s="11"/>
      <c r="F498" s="11"/>
      <c r="G498" s="11"/>
      <c r="H498" s="15" t="str">
        <f aca="false">IF(OR(D498="",F498=""),"",IF(F498&lt;=1,D498,D498*(1+F498/30)))</f>
        <v/>
      </c>
      <c r="I498" s="15" t="str">
        <f aca="false">IF(OR(D498="",F498="",G498=""),"",IF(F498+MAX(0,10-G498)&lt;=1,D498,D498*(1+(F498+MAX(0,10-G498))/30)))</f>
        <v/>
      </c>
      <c r="J498" s="16" t="str">
        <f aca="false">IF(A498="","",IF(AND(C498="yes",N(G498)&gt;=7),N(E498),0))</f>
        <v/>
      </c>
      <c r="K498" s="17" t="str">
        <f aca="false">IF(A498="","",A498-WEEKDAY(A498,3))</f>
        <v/>
      </c>
      <c r="L498" s="11"/>
    </row>
    <row r="499" customFormat="false" ht="15" hidden="false" customHeight="false" outlineLevel="0" collapsed="false">
      <c r="A499" s="10"/>
      <c r="B499" s="11"/>
      <c r="C499" s="11"/>
      <c r="D499" s="11"/>
      <c r="E499" s="11"/>
      <c r="F499" s="11"/>
      <c r="G499" s="11"/>
      <c r="H499" s="15" t="str">
        <f aca="false">IF(OR(D499="",F499=""),"",IF(F499&lt;=1,D499,D499*(1+F499/30)))</f>
        <v/>
      </c>
      <c r="I499" s="15" t="str">
        <f aca="false">IF(OR(D499="",F499="",G499=""),"",IF(F499+MAX(0,10-G499)&lt;=1,D499,D499*(1+(F499+MAX(0,10-G499))/30)))</f>
        <v/>
      </c>
      <c r="J499" s="16" t="str">
        <f aca="false">IF(A499="","",IF(AND(C499="yes",N(G499)&gt;=7),N(E499),0))</f>
        <v/>
      </c>
      <c r="K499" s="17" t="str">
        <f aca="false">IF(A499="","",A499-WEEKDAY(A499,3))</f>
        <v/>
      </c>
      <c r="L499" s="11"/>
    </row>
    <row r="500" customFormat="false" ht="15" hidden="false" customHeight="false" outlineLevel="0" collapsed="false">
      <c r="A500" s="10"/>
      <c r="B500" s="11"/>
      <c r="C500" s="11"/>
      <c r="D500" s="11"/>
      <c r="E500" s="11"/>
      <c r="F500" s="11"/>
      <c r="G500" s="11"/>
      <c r="H500" s="15" t="str">
        <f aca="false">IF(OR(D500="",F500=""),"",IF(F500&lt;=1,D500,D500*(1+F500/30)))</f>
        <v/>
      </c>
      <c r="I500" s="15" t="str">
        <f aca="false">IF(OR(D500="",F500="",G500=""),"",IF(F500+MAX(0,10-G500)&lt;=1,D500,D500*(1+(F500+MAX(0,10-G500))/30)))</f>
        <v/>
      </c>
      <c r="J500" s="16" t="str">
        <f aca="false">IF(A500="","",IF(AND(C500="yes",N(G500)&gt;=7),N(E500),0))</f>
        <v/>
      </c>
      <c r="K500" s="17" t="str">
        <f aca="false">IF(A500="","",A500-WEEKDAY(A500,3))</f>
        <v/>
      </c>
      <c r="L500" s="11"/>
    </row>
    <row r="501" customFormat="false" ht="15" hidden="false" customHeight="false" outlineLevel="0" collapsed="false">
      <c r="A501" s="10"/>
      <c r="B501" s="11"/>
      <c r="C501" s="11"/>
      <c r="D501" s="11"/>
      <c r="E501" s="11"/>
      <c r="F501" s="11"/>
      <c r="G501" s="11"/>
      <c r="H501" s="15" t="str">
        <f aca="false">IF(OR(D501="",F501=""),"",IF(F501&lt;=1,D501,D501*(1+F501/30)))</f>
        <v/>
      </c>
      <c r="I501" s="15" t="str">
        <f aca="false">IF(OR(D501="",F501="",G501=""),"",IF(F501+MAX(0,10-G501)&lt;=1,D501,D501*(1+(F501+MAX(0,10-G501))/30)))</f>
        <v/>
      </c>
      <c r="J501" s="16" t="str">
        <f aca="false">IF(A501="","",IF(AND(C501="yes",N(G501)&gt;=7),N(E501),0))</f>
        <v/>
      </c>
      <c r="K501" s="17" t="str">
        <f aca="false">IF(A501="","",A501-WEEKDAY(A501,3))</f>
        <v/>
      </c>
      <c r="L501" s="11"/>
    </row>
    <row r="502" customFormat="false" ht="15" hidden="false" customHeight="false" outlineLevel="0" collapsed="false">
      <c r="A502" s="10"/>
      <c r="B502" s="11"/>
      <c r="C502" s="11"/>
      <c r="D502" s="11"/>
      <c r="E502" s="11"/>
      <c r="F502" s="11"/>
      <c r="G502" s="11"/>
      <c r="H502" s="15" t="str">
        <f aca="false">IF(OR(D502="",F502=""),"",IF(F502&lt;=1,D502,D502*(1+F502/30)))</f>
        <v/>
      </c>
      <c r="I502" s="15" t="str">
        <f aca="false">IF(OR(D502="",F502="",G502=""),"",IF(F502+MAX(0,10-G502)&lt;=1,D502,D502*(1+(F502+MAX(0,10-G502))/30)))</f>
        <v/>
      </c>
      <c r="J502" s="16" t="str">
        <f aca="false">IF(A502="","",IF(AND(C502="yes",N(G502)&gt;=7),N(E502),0))</f>
        <v/>
      </c>
      <c r="K502" s="17" t="str">
        <f aca="false">IF(A502="","",A502-WEEKDAY(A502,3))</f>
        <v/>
      </c>
      <c r="L502" s="11"/>
    </row>
    <row r="503" customFormat="false" ht="15" hidden="false" customHeight="false" outlineLevel="0" collapsed="false">
      <c r="A503" s="10"/>
      <c r="B503" s="11"/>
      <c r="C503" s="11"/>
      <c r="D503" s="11"/>
      <c r="E503" s="11"/>
      <c r="F503" s="11"/>
      <c r="G503" s="11"/>
      <c r="H503" s="15" t="str">
        <f aca="false">IF(OR(D503="",F503=""),"",IF(F503&lt;=1,D503,D503*(1+F503/30)))</f>
        <v/>
      </c>
      <c r="I503" s="15" t="str">
        <f aca="false">IF(OR(D503="",F503="",G503=""),"",IF(F503+MAX(0,10-G503)&lt;=1,D503,D503*(1+(F503+MAX(0,10-G503))/30)))</f>
        <v/>
      </c>
      <c r="J503" s="16" t="str">
        <f aca="false">IF(A503="","",IF(AND(C503="yes",N(G503)&gt;=7),N(E503),0))</f>
        <v/>
      </c>
      <c r="K503" s="17" t="str">
        <f aca="false">IF(A503="","",A503-WEEKDAY(A503,3))</f>
        <v/>
      </c>
      <c r="L503" s="11"/>
    </row>
    <row r="504" customFormat="false" ht="15" hidden="false" customHeight="false" outlineLevel="0" collapsed="false">
      <c r="A504" s="10"/>
      <c r="B504" s="11"/>
      <c r="C504" s="11"/>
      <c r="D504" s="11"/>
      <c r="E504" s="11"/>
      <c r="F504" s="11"/>
      <c r="G504" s="11"/>
      <c r="H504" s="15" t="str">
        <f aca="false">IF(OR(D504="",F504=""),"",IF(F504&lt;=1,D504,D504*(1+F504/30)))</f>
        <v/>
      </c>
      <c r="I504" s="15" t="str">
        <f aca="false">IF(OR(D504="",F504="",G504=""),"",IF(F504+MAX(0,10-G504)&lt;=1,D504,D504*(1+(F504+MAX(0,10-G504))/30)))</f>
        <v/>
      </c>
      <c r="J504" s="16" t="str">
        <f aca="false">IF(A504="","",IF(AND(C504="yes",N(G504)&gt;=7),N(E504),0))</f>
        <v/>
      </c>
      <c r="K504" s="17" t="str">
        <f aca="false">IF(A504="","",A504-WEEKDAY(A504,3))</f>
        <v/>
      </c>
      <c r="L504" s="11"/>
    </row>
    <row r="505" customFormat="false" ht="15" hidden="false" customHeight="false" outlineLevel="0" collapsed="false">
      <c r="A505" s="10"/>
      <c r="B505" s="11"/>
      <c r="C505" s="11"/>
      <c r="D505" s="11"/>
      <c r="E505" s="11"/>
      <c r="F505" s="11"/>
      <c r="G505" s="11"/>
      <c r="H505" s="15" t="str">
        <f aca="false">IF(OR(D505="",F505=""),"",IF(F505&lt;=1,D505,D505*(1+F505/30)))</f>
        <v/>
      </c>
      <c r="I505" s="15" t="str">
        <f aca="false">IF(OR(D505="",F505="",G505=""),"",IF(F505+MAX(0,10-G505)&lt;=1,D505,D505*(1+(F505+MAX(0,10-G505))/30)))</f>
        <v/>
      </c>
      <c r="J505" s="16" t="str">
        <f aca="false">IF(A505="","",IF(AND(C505="yes",N(G505)&gt;=7),N(E505),0))</f>
        <v/>
      </c>
      <c r="K505" s="17" t="str">
        <f aca="false">IF(A505="","",A505-WEEKDAY(A505,3))</f>
        <v/>
      </c>
      <c r="L505" s="11"/>
    </row>
    <row r="506" customFormat="false" ht="15" hidden="false" customHeight="false" outlineLevel="0" collapsed="false">
      <c r="A506" s="10"/>
      <c r="B506" s="11"/>
      <c r="C506" s="11"/>
      <c r="D506" s="11"/>
      <c r="E506" s="11"/>
      <c r="F506" s="11"/>
      <c r="G506" s="11"/>
      <c r="H506" s="15" t="str">
        <f aca="false">IF(OR(D506="",F506=""),"",IF(F506&lt;=1,D506,D506*(1+F506/30)))</f>
        <v/>
      </c>
      <c r="I506" s="15" t="str">
        <f aca="false">IF(OR(D506="",F506="",G506=""),"",IF(F506+MAX(0,10-G506)&lt;=1,D506,D506*(1+(F506+MAX(0,10-G506))/30)))</f>
        <v/>
      </c>
      <c r="J506" s="16" t="str">
        <f aca="false">IF(A506="","",IF(AND(C506="yes",N(G506)&gt;=7),N(E506),0))</f>
        <v/>
      </c>
      <c r="K506" s="17" t="str">
        <f aca="false">IF(A506="","",A506-WEEKDAY(A506,3))</f>
        <v/>
      </c>
      <c r="L506" s="11"/>
    </row>
    <row r="507" customFormat="false" ht="15" hidden="false" customHeight="false" outlineLevel="0" collapsed="false">
      <c r="A507" s="10"/>
      <c r="B507" s="11"/>
      <c r="C507" s="11"/>
      <c r="D507" s="11"/>
      <c r="E507" s="11"/>
      <c r="F507" s="11"/>
      <c r="G507" s="11"/>
      <c r="H507" s="15" t="str">
        <f aca="false">IF(OR(D507="",F507=""),"",IF(F507&lt;=1,D507,D507*(1+F507/30)))</f>
        <v/>
      </c>
      <c r="I507" s="15" t="str">
        <f aca="false">IF(OR(D507="",F507="",G507=""),"",IF(F507+MAX(0,10-G507)&lt;=1,D507,D507*(1+(F507+MAX(0,10-G507))/30)))</f>
        <v/>
      </c>
      <c r="J507" s="16" t="str">
        <f aca="false">IF(A507="","",IF(AND(C507="yes",N(G507)&gt;=7),N(E507),0))</f>
        <v/>
      </c>
      <c r="K507" s="17" t="str">
        <f aca="false">IF(A507="","",A507-WEEKDAY(A507,3))</f>
        <v/>
      </c>
      <c r="L507" s="11"/>
    </row>
    <row r="508" customFormat="false" ht="15" hidden="false" customHeight="false" outlineLevel="0" collapsed="false">
      <c r="A508" s="10"/>
      <c r="B508" s="11"/>
      <c r="C508" s="11"/>
      <c r="D508" s="11"/>
      <c r="E508" s="11"/>
      <c r="F508" s="11"/>
      <c r="G508" s="11"/>
      <c r="H508" s="15" t="str">
        <f aca="false">IF(OR(D508="",F508=""),"",IF(F508&lt;=1,D508,D508*(1+F508/30)))</f>
        <v/>
      </c>
      <c r="I508" s="15" t="str">
        <f aca="false">IF(OR(D508="",F508="",G508=""),"",IF(F508+MAX(0,10-G508)&lt;=1,D508,D508*(1+(F508+MAX(0,10-G508))/30)))</f>
        <v/>
      </c>
      <c r="J508" s="16" t="str">
        <f aca="false">IF(A508="","",IF(AND(C508="yes",N(G508)&gt;=7),N(E508),0))</f>
        <v/>
      </c>
      <c r="K508" s="17" t="str">
        <f aca="false">IF(A508="","",A508-WEEKDAY(A508,3))</f>
        <v/>
      </c>
      <c r="L508" s="11"/>
    </row>
    <row r="509" customFormat="false" ht="15" hidden="false" customHeight="false" outlineLevel="0" collapsed="false">
      <c r="A509" s="10"/>
      <c r="B509" s="11"/>
      <c r="C509" s="11"/>
      <c r="D509" s="11"/>
      <c r="E509" s="11"/>
      <c r="F509" s="11"/>
      <c r="G509" s="11"/>
      <c r="H509" s="15" t="str">
        <f aca="false">IF(OR(D509="",F509=""),"",IF(F509&lt;=1,D509,D509*(1+F509/30)))</f>
        <v/>
      </c>
      <c r="I509" s="15" t="str">
        <f aca="false">IF(OR(D509="",F509="",G509=""),"",IF(F509+MAX(0,10-G509)&lt;=1,D509,D509*(1+(F509+MAX(0,10-G509))/30)))</f>
        <v/>
      </c>
      <c r="J509" s="16" t="str">
        <f aca="false">IF(A509="","",IF(AND(C509="yes",N(G509)&gt;=7),N(E509),0))</f>
        <v/>
      </c>
      <c r="K509" s="17" t="str">
        <f aca="false">IF(A509="","",A509-WEEKDAY(A509,3))</f>
        <v/>
      </c>
      <c r="L509" s="11"/>
    </row>
    <row r="510" customFormat="false" ht="15" hidden="false" customHeight="false" outlineLevel="0" collapsed="false">
      <c r="A510" s="10"/>
      <c r="B510" s="11"/>
      <c r="C510" s="11"/>
      <c r="D510" s="11"/>
      <c r="E510" s="11"/>
      <c r="F510" s="11"/>
      <c r="G510" s="11"/>
      <c r="H510" s="15" t="str">
        <f aca="false">IF(OR(D510="",F510=""),"",IF(F510&lt;=1,D510,D510*(1+F510/30)))</f>
        <v/>
      </c>
      <c r="I510" s="15" t="str">
        <f aca="false">IF(OR(D510="",F510="",G510=""),"",IF(F510+MAX(0,10-G510)&lt;=1,D510,D510*(1+(F510+MAX(0,10-G510))/30)))</f>
        <v/>
      </c>
      <c r="J510" s="16" t="str">
        <f aca="false">IF(A510="","",IF(AND(C510="yes",N(G510)&gt;=7),N(E510),0))</f>
        <v/>
      </c>
      <c r="K510" s="17" t="str">
        <f aca="false">IF(A510="","",A510-WEEKDAY(A510,3))</f>
        <v/>
      </c>
      <c r="L510" s="11"/>
    </row>
    <row r="511" customFormat="false" ht="15" hidden="false" customHeight="false" outlineLevel="0" collapsed="false">
      <c r="A511" s="10"/>
      <c r="B511" s="11"/>
      <c r="C511" s="11"/>
      <c r="D511" s="11"/>
      <c r="E511" s="11"/>
      <c r="F511" s="11"/>
      <c r="G511" s="11"/>
      <c r="H511" s="15" t="str">
        <f aca="false">IF(OR(D511="",F511=""),"",IF(F511&lt;=1,D511,D511*(1+F511/30)))</f>
        <v/>
      </c>
      <c r="I511" s="15" t="str">
        <f aca="false">IF(OR(D511="",F511="",G511=""),"",IF(F511+MAX(0,10-G511)&lt;=1,D511,D511*(1+(F511+MAX(0,10-G511))/30)))</f>
        <v/>
      </c>
      <c r="J511" s="16" t="str">
        <f aca="false">IF(A511="","",IF(AND(C511="yes",N(G511)&gt;=7),N(E511),0))</f>
        <v/>
      </c>
      <c r="K511" s="17" t="str">
        <f aca="false">IF(A511="","",A511-WEEKDAY(A511,3))</f>
        <v/>
      </c>
      <c r="L511" s="11"/>
    </row>
    <row r="512" customFormat="false" ht="15" hidden="false" customHeight="false" outlineLevel="0" collapsed="false">
      <c r="A512" s="10"/>
      <c r="B512" s="11"/>
      <c r="C512" s="11"/>
      <c r="D512" s="11"/>
      <c r="E512" s="11"/>
      <c r="F512" s="11"/>
      <c r="G512" s="11"/>
      <c r="H512" s="15" t="str">
        <f aca="false">IF(OR(D512="",F512=""),"",IF(F512&lt;=1,D512,D512*(1+F512/30)))</f>
        <v/>
      </c>
      <c r="I512" s="15" t="str">
        <f aca="false">IF(OR(D512="",F512="",G512=""),"",IF(F512+MAX(0,10-G512)&lt;=1,D512,D512*(1+(F512+MAX(0,10-G512))/30)))</f>
        <v/>
      </c>
      <c r="J512" s="16" t="str">
        <f aca="false">IF(A512="","",IF(AND(C512="yes",N(G512)&gt;=7),N(E512),0))</f>
        <v/>
      </c>
      <c r="K512" s="17" t="str">
        <f aca="false">IF(A512="","",A512-WEEKDAY(A512,3))</f>
        <v/>
      </c>
      <c r="L512" s="11"/>
    </row>
    <row r="513" customFormat="false" ht="15" hidden="false" customHeight="false" outlineLevel="0" collapsed="false">
      <c r="A513" s="10"/>
      <c r="B513" s="11"/>
      <c r="C513" s="11"/>
      <c r="D513" s="11"/>
      <c r="E513" s="11"/>
      <c r="F513" s="11"/>
      <c r="G513" s="11"/>
      <c r="H513" s="15" t="str">
        <f aca="false">IF(OR(D513="",F513=""),"",IF(F513&lt;=1,D513,D513*(1+F513/30)))</f>
        <v/>
      </c>
      <c r="I513" s="15" t="str">
        <f aca="false">IF(OR(D513="",F513="",G513=""),"",IF(F513+MAX(0,10-G513)&lt;=1,D513,D513*(1+(F513+MAX(0,10-G513))/30)))</f>
        <v/>
      </c>
      <c r="J513" s="16" t="str">
        <f aca="false">IF(A513="","",IF(AND(C513="yes",N(G513)&gt;=7),N(E513),0))</f>
        <v/>
      </c>
      <c r="K513" s="17" t="str">
        <f aca="false">IF(A513="","",A513-WEEKDAY(A513,3))</f>
        <v/>
      </c>
      <c r="L513" s="11"/>
    </row>
    <row r="514" customFormat="false" ht="15" hidden="false" customHeight="false" outlineLevel="0" collapsed="false">
      <c r="A514" s="10"/>
      <c r="B514" s="11"/>
      <c r="C514" s="11"/>
      <c r="D514" s="11"/>
      <c r="E514" s="11"/>
      <c r="F514" s="11"/>
      <c r="G514" s="11"/>
      <c r="H514" s="15" t="str">
        <f aca="false">IF(OR(D514="",F514=""),"",IF(F514&lt;=1,D514,D514*(1+F514/30)))</f>
        <v/>
      </c>
      <c r="I514" s="15" t="str">
        <f aca="false">IF(OR(D514="",F514="",G514=""),"",IF(F514+MAX(0,10-G514)&lt;=1,D514,D514*(1+(F514+MAX(0,10-G514))/30)))</f>
        <v/>
      </c>
      <c r="J514" s="16" t="str">
        <f aca="false">IF(A514="","",IF(AND(C514="yes",N(G514)&gt;=7),N(E514),0))</f>
        <v/>
      </c>
      <c r="K514" s="17" t="str">
        <f aca="false">IF(A514="","",A514-WEEKDAY(A514,3))</f>
        <v/>
      </c>
      <c r="L514" s="11"/>
    </row>
    <row r="515" customFormat="false" ht="15" hidden="false" customHeight="false" outlineLevel="0" collapsed="false">
      <c r="A515" s="10"/>
      <c r="B515" s="11"/>
      <c r="C515" s="11"/>
      <c r="D515" s="11"/>
      <c r="E515" s="11"/>
      <c r="F515" s="11"/>
      <c r="G515" s="11"/>
      <c r="H515" s="15" t="str">
        <f aca="false">IF(OR(D515="",F515=""),"",IF(F515&lt;=1,D515,D515*(1+F515/30)))</f>
        <v/>
      </c>
      <c r="I515" s="15" t="str">
        <f aca="false">IF(OR(D515="",F515="",G515=""),"",IF(F515+MAX(0,10-G515)&lt;=1,D515,D515*(1+(F515+MAX(0,10-G515))/30)))</f>
        <v/>
      </c>
      <c r="J515" s="16" t="str">
        <f aca="false">IF(A515="","",IF(AND(C515="yes",N(G515)&gt;=7),N(E515),0))</f>
        <v/>
      </c>
      <c r="K515" s="17" t="str">
        <f aca="false">IF(A515="","",A515-WEEKDAY(A515,3))</f>
        <v/>
      </c>
      <c r="L515" s="11"/>
    </row>
    <row r="516" customFormat="false" ht="15" hidden="false" customHeight="false" outlineLevel="0" collapsed="false">
      <c r="A516" s="10"/>
      <c r="B516" s="11"/>
      <c r="C516" s="11"/>
      <c r="D516" s="11"/>
      <c r="E516" s="11"/>
      <c r="F516" s="11"/>
      <c r="G516" s="11"/>
      <c r="H516" s="15" t="str">
        <f aca="false">IF(OR(D516="",F516=""),"",IF(F516&lt;=1,D516,D516*(1+F516/30)))</f>
        <v/>
      </c>
      <c r="I516" s="15" t="str">
        <f aca="false">IF(OR(D516="",F516="",G516=""),"",IF(F516+MAX(0,10-G516)&lt;=1,D516,D516*(1+(F516+MAX(0,10-G516))/30)))</f>
        <v/>
      </c>
      <c r="J516" s="16" t="str">
        <f aca="false">IF(A516="","",IF(AND(C516="yes",N(G516)&gt;=7),N(E516),0))</f>
        <v/>
      </c>
      <c r="K516" s="17" t="str">
        <f aca="false">IF(A516="","",A516-WEEKDAY(A516,3))</f>
        <v/>
      </c>
      <c r="L516" s="11"/>
    </row>
    <row r="517" customFormat="false" ht="15" hidden="false" customHeight="false" outlineLevel="0" collapsed="false">
      <c r="A517" s="10"/>
      <c r="B517" s="11"/>
      <c r="C517" s="11"/>
      <c r="D517" s="11"/>
      <c r="E517" s="11"/>
      <c r="F517" s="11"/>
      <c r="G517" s="11"/>
      <c r="H517" s="15" t="str">
        <f aca="false">IF(OR(D517="",F517=""),"",IF(F517&lt;=1,D517,D517*(1+F517/30)))</f>
        <v/>
      </c>
      <c r="I517" s="15" t="str">
        <f aca="false">IF(OR(D517="",F517="",G517=""),"",IF(F517+MAX(0,10-G517)&lt;=1,D517,D517*(1+(F517+MAX(0,10-G517))/30)))</f>
        <v/>
      </c>
      <c r="J517" s="16" t="str">
        <f aca="false">IF(A517="","",IF(AND(C517="yes",N(G517)&gt;=7),N(E517),0))</f>
        <v/>
      </c>
      <c r="K517" s="17" t="str">
        <f aca="false">IF(A517="","",A517-WEEKDAY(A517,3))</f>
        <v/>
      </c>
      <c r="L517" s="11"/>
    </row>
    <row r="518" customFormat="false" ht="15" hidden="false" customHeight="false" outlineLevel="0" collapsed="false">
      <c r="A518" s="10"/>
      <c r="B518" s="11"/>
      <c r="C518" s="11"/>
      <c r="D518" s="11"/>
      <c r="E518" s="11"/>
      <c r="F518" s="11"/>
      <c r="G518" s="11"/>
      <c r="H518" s="15" t="str">
        <f aca="false">IF(OR(D518="",F518=""),"",IF(F518&lt;=1,D518,D518*(1+F518/30)))</f>
        <v/>
      </c>
      <c r="I518" s="15" t="str">
        <f aca="false">IF(OR(D518="",F518="",G518=""),"",IF(F518+MAX(0,10-G518)&lt;=1,D518,D518*(1+(F518+MAX(0,10-G518))/30)))</f>
        <v/>
      </c>
      <c r="J518" s="16" t="str">
        <f aca="false">IF(A518="","",IF(AND(C518="yes",N(G518)&gt;=7),N(E518),0))</f>
        <v/>
      </c>
      <c r="K518" s="17" t="str">
        <f aca="false">IF(A518="","",A518-WEEKDAY(A518,3))</f>
        <v/>
      </c>
      <c r="L518" s="11"/>
    </row>
    <row r="519" customFormat="false" ht="15" hidden="false" customHeight="false" outlineLevel="0" collapsed="false">
      <c r="A519" s="10"/>
      <c r="B519" s="11"/>
      <c r="C519" s="11"/>
      <c r="D519" s="11"/>
      <c r="E519" s="11"/>
      <c r="F519" s="11"/>
      <c r="G519" s="11"/>
      <c r="H519" s="15" t="str">
        <f aca="false">IF(OR(D519="",F519=""),"",IF(F519&lt;=1,D519,D519*(1+F519/30)))</f>
        <v/>
      </c>
      <c r="I519" s="15" t="str">
        <f aca="false">IF(OR(D519="",F519="",G519=""),"",IF(F519+MAX(0,10-G519)&lt;=1,D519,D519*(1+(F519+MAX(0,10-G519))/30)))</f>
        <v/>
      </c>
      <c r="J519" s="16" t="str">
        <f aca="false">IF(A519="","",IF(AND(C519="yes",N(G519)&gt;=7),N(E519),0))</f>
        <v/>
      </c>
      <c r="K519" s="17" t="str">
        <f aca="false">IF(A519="","",A519-WEEKDAY(A519,3))</f>
        <v/>
      </c>
      <c r="L519" s="11"/>
    </row>
    <row r="520" customFormat="false" ht="15" hidden="false" customHeight="false" outlineLevel="0" collapsed="false">
      <c r="A520" s="10"/>
      <c r="B520" s="11"/>
      <c r="C520" s="11"/>
      <c r="D520" s="11"/>
      <c r="E520" s="11"/>
      <c r="F520" s="11"/>
      <c r="G520" s="11"/>
      <c r="H520" s="15" t="str">
        <f aca="false">IF(OR(D520="",F520=""),"",IF(F520&lt;=1,D520,D520*(1+F520/30)))</f>
        <v/>
      </c>
      <c r="I520" s="15" t="str">
        <f aca="false">IF(OR(D520="",F520="",G520=""),"",IF(F520+MAX(0,10-G520)&lt;=1,D520,D520*(1+(F520+MAX(0,10-G520))/30)))</f>
        <v/>
      </c>
      <c r="J520" s="16" t="str">
        <f aca="false">IF(A520="","",IF(AND(C520="yes",N(G520)&gt;=7),N(E520),0))</f>
        <v/>
      </c>
      <c r="K520" s="17" t="str">
        <f aca="false">IF(A520="","",A520-WEEKDAY(A520,3))</f>
        <v/>
      </c>
      <c r="L520" s="11"/>
    </row>
    <row r="521" customFormat="false" ht="15" hidden="false" customHeight="false" outlineLevel="0" collapsed="false">
      <c r="A521" s="10"/>
      <c r="B521" s="11"/>
      <c r="C521" s="11"/>
      <c r="D521" s="11"/>
      <c r="E521" s="11"/>
      <c r="F521" s="11"/>
      <c r="G521" s="11"/>
      <c r="H521" s="15" t="str">
        <f aca="false">IF(OR(D521="",F521=""),"",IF(F521&lt;=1,D521,D521*(1+F521/30)))</f>
        <v/>
      </c>
      <c r="I521" s="15" t="str">
        <f aca="false">IF(OR(D521="",F521="",G521=""),"",IF(F521+MAX(0,10-G521)&lt;=1,D521,D521*(1+(F521+MAX(0,10-G521))/30)))</f>
        <v/>
      </c>
      <c r="J521" s="16" t="str">
        <f aca="false">IF(A521="","",IF(AND(C521="yes",N(G521)&gt;=7),N(E521),0))</f>
        <v/>
      </c>
      <c r="K521" s="17" t="str">
        <f aca="false">IF(A521="","",A521-WEEKDAY(A521,3))</f>
        <v/>
      </c>
      <c r="L521" s="11"/>
    </row>
    <row r="522" customFormat="false" ht="15" hidden="false" customHeight="false" outlineLevel="0" collapsed="false">
      <c r="A522" s="10"/>
      <c r="B522" s="11"/>
      <c r="C522" s="11"/>
      <c r="D522" s="11"/>
      <c r="E522" s="11"/>
      <c r="F522" s="11"/>
      <c r="G522" s="11"/>
      <c r="H522" s="15" t="str">
        <f aca="false">IF(OR(D522="",F522=""),"",IF(F522&lt;=1,D522,D522*(1+F522/30)))</f>
        <v/>
      </c>
      <c r="I522" s="15" t="str">
        <f aca="false">IF(OR(D522="",F522="",G522=""),"",IF(F522+MAX(0,10-G522)&lt;=1,D522,D522*(1+(F522+MAX(0,10-G522))/30)))</f>
        <v/>
      </c>
      <c r="J522" s="16" t="str">
        <f aca="false">IF(A522="","",IF(AND(C522="yes",N(G522)&gt;=7),N(E522),0))</f>
        <v/>
      </c>
      <c r="K522" s="17" t="str">
        <f aca="false">IF(A522="","",A522-WEEKDAY(A522,3))</f>
        <v/>
      </c>
      <c r="L522" s="11"/>
    </row>
    <row r="523" customFormat="false" ht="15" hidden="false" customHeight="false" outlineLevel="0" collapsed="false">
      <c r="A523" s="10"/>
      <c r="B523" s="11"/>
      <c r="C523" s="11"/>
      <c r="D523" s="11"/>
      <c r="E523" s="11"/>
      <c r="F523" s="11"/>
      <c r="G523" s="11"/>
      <c r="H523" s="15" t="str">
        <f aca="false">IF(OR(D523="",F523=""),"",IF(F523&lt;=1,D523,D523*(1+F523/30)))</f>
        <v/>
      </c>
      <c r="I523" s="15" t="str">
        <f aca="false">IF(OR(D523="",F523="",G523=""),"",IF(F523+MAX(0,10-G523)&lt;=1,D523,D523*(1+(F523+MAX(0,10-G523))/30)))</f>
        <v/>
      </c>
      <c r="J523" s="16" t="str">
        <f aca="false">IF(A523="","",IF(AND(C523="yes",N(G523)&gt;=7),N(E523),0))</f>
        <v/>
      </c>
      <c r="K523" s="17" t="str">
        <f aca="false">IF(A523="","",A523-WEEKDAY(A523,3))</f>
        <v/>
      </c>
      <c r="L523" s="11"/>
    </row>
    <row r="524" customFormat="false" ht="15" hidden="false" customHeight="false" outlineLevel="0" collapsed="false">
      <c r="A524" s="10"/>
      <c r="B524" s="11"/>
      <c r="C524" s="11"/>
      <c r="D524" s="11"/>
      <c r="E524" s="11"/>
      <c r="F524" s="11"/>
      <c r="G524" s="11"/>
      <c r="H524" s="15" t="str">
        <f aca="false">IF(OR(D524="",F524=""),"",IF(F524&lt;=1,D524,D524*(1+F524/30)))</f>
        <v/>
      </c>
      <c r="I524" s="15" t="str">
        <f aca="false">IF(OR(D524="",F524="",G524=""),"",IF(F524+MAX(0,10-G524)&lt;=1,D524,D524*(1+(F524+MAX(0,10-G524))/30)))</f>
        <v/>
      </c>
      <c r="J524" s="16" t="str">
        <f aca="false">IF(A524="","",IF(AND(C524="yes",N(G524)&gt;=7),N(E524),0))</f>
        <v/>
      </c>
      <c r="K524" s="17" t="str">
        <f aca="false">IF(A524="","",A524-WEEKDAY(A524,3))</f>
        <v/>
      </c>
      <c r="L524" s="11"/>
    </row>
    <row r="525" customFormat="false" ht="15" hidden="false" customHeight="false" outlineLevel="0" collapsed="false">
      <c r="A525" s="10"/>
      <c r="B525" s="11"/>
      <c r="C525" s="11"/>
      <c r="D525" s="11"/>
      <c r="E525" s="11"/>
      <c r="F525" s="11"/>
      <c r="G525" s="11"/>
      <c r="H525" s="15" t="str">
        <f aca="false">IF(OR(D525="",F525=""),"",IF(F525&lt;=1,D525,D525*(1+F525/30)))</f>
        <v/>
      </c>
      <c r="I525" s="15" t="str">
        <f aca="false">IF(OR(D525="",F525="",G525=""),"",IF(F525+MAX(0,10-G525)&lt;=1,D525,D525*(1+(F525+MAX(0,10-G525))/30)))</f>
        <v/>
      </c>
      <c r="J525" s="16" t="str">
        <f aca="false">IF(A525="","",IF(AND(C525="yes",N(G525)&gt;=7),N(E525),0))</f>
        <v/>
      </c>
      <c r="K525" s="17" t="str">
        <f aca="false">IF(A525="","",A525-WEEKDAY(A525,3))</f>
        <v/>
      </c>
      <c r="L525" s="11"/>
    </row>
    <row r="526" customFormat="false" ht="15" hidden="false" customHeight="false" outlineLevel="0" collapsed="false">
      <c r="A526" s="10"/>
      <c r="B526" s="11"/>
      <c r="C526" s="11"/>
      <c r="D526" s="11"/>
      <c r="E526" s="11"/>
      <c r="F526" s="11"/>
      <c r="G526" s="11"/>
      <c r="H526" s="15" t="str">
        <f aca="false">IF(OR(D526="",F526=""),"",IF(F526&lt;=1,D526,D526*(1+F526/30)))</f>
        <v/>
      </c>
      <c r="I526" s="15" t="str">
        <f aca="false">IF(OR(D526="",F526="",G526=""),"",IF(F526+MAX(0,10-G526)&lt;=1,D526,D526*(1+(F526+MAX(0,10-G526))/30)))</f>
        <v/>
      </c>
      <c r="J526" s="16" t="str">
        <f aca="false">IF(A526="","",IF(AND(C526="yes",N(G526)&gt;=7),N(E526),0))</f>
        <v/>
      </c>
      <c r="K526" s="17" t="str">
        <f aca="false">IF(A526="","",A526-WEEKDAY(A526,3))</f>
        <v/>
      </c>
      <c r="L526" s="11"/>
    </row>
    <row r="527" customFormat="false" ht="15" hidden="false" customHeight="false" outlineLevel="0" collapsed="false">
      <c r="A527" s="10"/>
      <c r="B527" s="11"/>
      <c r="C527" s="11"/>
      <c r="D527" s="11"/>
      <c r="E527" s="11"/>
      <c r="F527" s="11"/>
      <c r="G527" s="11"/>
      <c r="H527" s="15" t="str">
        <f aca="false">IF(OR(D527="",F527=""),"",IF(F527&lt;=1,D527,D527*(1+F527/30)))</f>
        <v/>
      </c>
      <c r="I527" s="15" t="str">
        <f aca="false">IF(OR(D527="",F527="",G527=""),"",IF(F527+MAX(0,10-G527)&lt;=1,D527,D527*(1+(F527+MAX(0,10-G527))/30)))</f>
        <v/>
      </c>
      <c r="J527" s="16" t="str">
        <f aca="false">IF(A527="","",IF(AND(C527="yes",N(G527)&gt;=7),N(E527),0))</f>
        <v/>
      </c>
      <c r="K527" s="17" t="str">
        <f aca="false">IF(A527="","",A527-WEEKDAY(A527,3))</f>
        <v/>
      </c>
      <c r="L527" s="11"/>
    </row>
    <row r="528" customFormat="false" ht="15" hidden="false" customHeight="false" outlineLevel="0" collapsed="false">
      <c r="A528" s="10"/>
      <c r="B528" s="11"/>
      <c r="C528" s="11"/>
      <c r="D528" s="11"/>
      <c r="E528" s="11"/>
      <c r="F528" s="11"/>
      <c r="G528" s="11"/>
      <c r="H528" s="15" t="str">
        <f aca="false">IF(OR(D528="",F528=""),"",IF(F528&lt;=1,D528,D528*(1+F528/30)))</f>
        <v/>
      </c>
      <c r="I528" s="15" t="str">
        <f aca="false">IF(OR(D528="",F528="",G528=""),"",IF(F528+MAX(0,10-G528)&lt;=1,D528,D528*(1+(F528+MAX(0,10-G528))/30)))</f>
        <v/>
      </c>
      <c r="J528" s="16" t="str">
        <f aca="false">IF(A528="","",IF(AND(C528="yes",N(G528)&gt;=7),N(E528),0))</f>
        <v/>
      </c>
      <c r="K528" s="17" t="str">
        <f aca="false">IF(A528="","",A528-WEEKDAY(A528,3))</f>
        <v/>
      </c>
      <c r="L528" s="11"/>
    </row>
    <row r="529" customFormat="false" ht="15" hidden="false" customHeight="false" outlineLevel="0" collapsed="false">
      <c r="A529" s="10"/>
      <c r="B529" s="11"/>
      <c r="C529" s="11"/>
      <c r="D529" s="11"/>
      <c r="E529" s="11"/>
      <c r="F529" s="11"/>
      <c r="G529" s="11"/>
      <c r="H529" s="15" t="str">
        <f aca="false">IF(OR(D529="",F529=""),"",IF(F529&lt;=1,D529,D529*(1+F529/30)))</f>
        <v/>
      </c>
      <c r="I529" s="15" t="str">
        <f aca="false">IF(OR(D529="",F529="",G529=""),"",IF(F529+MAX(0,10-G529)&lt;=1,D529,D529*(1+(F529+MAX(0,10-G529))/30)))</f>
        <v/>
      </c>
      <c r="J529" s="16" t="str">
        <f aca="false">IF(A529="","",IF(AND(C529="yes",N(G529)&gt;=7),N(E529),0))</f>
        <v/>
      </c>
      <c r="K529" s="17" t="str">
        <f aca="false">IF(A529="","",A529-WEEKDAY(A529,3))</f>
        <v/>
      </c>
      <c r="L529" s="11"/>
    </row>
    <row r="530" customFormat="false" ht="15" hidden="false" customHeight="false" outlineLevel="0" collapsed="false">
      <c r="A530" s="10"/>
      <c r="B530" s="11"/>
      <c r="C530" s="11"/>
      <c r="D530" s="11"/>
      <c r="E530" s="11"/>
      <c r="F530" s="11"/>
      <c r="G530" s="11"/>
      <c r="H530" s="15" t="str">
        <f aca="false">IF(OR(D530="",F530=""),"",IF(F530&lt;=1,D530,D530*(1+F530/30)))</f>
        <v/>
      </c>
      <c r="I530" s="15" t="str">
        <f aca="false">IF(OR(D530="",F530="",G530=""),"",IF(F530+MAX(0,10-G530)&lt;=1,D530,D530*(1+(F530+MAX(0,10-G530))/30)))</f>
        <v/>
      </c>
      <c r="J530" s="16" t="str">
        <f aca="false">IF(A530="","",IF(AND(C530="yes",N(G530)&gt;=7),N(E530),0))</f>
        <v/>
      </c>
      <c r="K530" s="17" t="str">
        <f aca="false">IF(A530="","",A530-WEEKDAY(A530,3))</f>
        <v/>
      </c>
      <c r="L530" s="11"/>
    </row>
    <row r="531" customFormat="false" ht="15" hidden="false" customHeight="false" outlineLevel="0" collapsed="false">
      <c r="A531" s="10"/>
      <c r="B531" s="11"/>
      <c r="C531" s="11"/>
      <c r="D531" s="11"/>
      <c r="E531" s="11"/>
      <c r="F531" s="11"/>
      <c r="G531" s="11"/>
      <c r="H531" s="15" t="str">
        <f aca="false">IF(OR(D531="",F531=""),"",IF(F531&lt;=1,D531,D531*(1+F531/30)))</f>
        <v/>
      </c>
      <c r="I531" s="15" t="str">
        <f aca="false">IF(OR(D531="",F531="",G531=""),"",IF(F531+MAX(0,10-G531)&lt;=1,D531,D531*(1+(F531+MAX(0,10-G531))/30)))</f>
        <v/>
      </c>
      <c r="J531" s="16" t="str">
        <f aca="false">IF(A531="","",IF(AND(C531="yes",N(G531)&gt;=7),N(E531),0))</f>
        <v/>
      </c>
      <c r="K531" s="17" t="str">
        <f aca="false">IF(A531="","",A531-WEEKDAY(A531,3))</f>
        <v/>
      </c>
      <c r="L531" s="11"/>
    </row>
    <row r="532" customFormat="false" ht="15" hidden="false" customHeight="false" outlineLevel="0" collapsed="false">
      <c r="A532" s="10"/>
      <c r="B532" s="11"/>
      <c r="C532" s="11"/>
      <c r="D532" s="11"/>
      <c r="E532" s="11"/>
      <c r="F532" s="11"/>
      <c r="G532" s="11"/>
      <c r="H532" s="15" t="str">
        <f aca="false">IF(OR(D532="",F532=""),"",IF(F532&lt;=1,D532,D532*(1+F532/30)))</f>
        <v/>
      </c>
      <c r="I532" s="15" t="str">
        <f aca="false">IF(OR(D532="",F532="",G532=""),"",IF(F532+MAX(0,10-G532)&lt;=1,D532,D532*(1+(F532+MAX(0,10-G532))/30)))</f>
        <v/>
      </c>
      <c r="J532" s="16" t="str">
        <f aca="false">IF(A532="","",IF(AND(C532="yes",N(G532)&gt;=7),N(E532),0))</f>
        <v/>
      </c>
      <c r="K532" s="17" t="str">
        <f aca="false">IF(A532="","",A532-WEEKDAY(A532,3))</f>
        <v/>
      </c>
      <c r="L532" s="11"/>
    </row>
    <row r="533" customFormat="false" ht="15" hidden="false" customHeight="false" outlineLevel="0" collapsed="false">
      <c r="A533" s="10"/>
      <c r="B533" s="11"/>
      <c r="C533" s="11"/>
      <c r="D533" s="11"/>
      <c r="E533" s="11"/>
      <c r="F533" s="11"/>
      <c r="G533" s="11"/>
      <c r="H533" s="15" t="str">
        <f aca="false">IF(OR(D533="",F533=""),"",IF(F533&lt;=1,D533,D533*(1+F533/30)))</f>
        <v/>
      </c>
      <c r="I533" s="15" t="str">
        <f aca="false">IF(OR(D533="",F533="",G533=""),"",IF(F533+MAX(0,10-G533)&lt;=1,D533,D533*(1+(F533+MAX(0,10-G533))/30)))</f>
        <v/>
      </c>
      <c r="J533" s="16" t="str">
        <f aca="false">IF(A533="","",IF(AND(C533="yes",N(G533)&gt;=7),N(E533),0))</f>
        <v/>
      </c>
      <c r="K533" s="17" t="str">
        <f aca="false">IF(A533="","",A533-WEEKDAY(A533,3))</f>
        <v/>
      </c>
      <c r="L533" s="11"/>
    </row>
    <row r="534" customFormat="false" ht="15" hidden="false" customHeight="false" outlineLevel="0" collapsed="false">
      <c r="A534" s="10"/>
      <c r="B534" s="11"/>
      <c r="C534" s="11"/>
      <c r="D534" s="11"/>
      <c r="E534" s="11"/>
      <c r="F534" s="11"/>
      <c r="G534" s="11"/>
      <c r="H534" s="15" t="str">
        <f aca="false">IF(OR(D534="",F534=""),"",IF(F534&lt;=1,D534,D534*(1+F534/30)))</f>
        <v/>
      </c>
      <c r="I534" s="15" t="str">
        <f aca="false">IF(OR(D534="",F534="",G534=""),"",IF(F534+MAX(0,10-G534)&lt;=1,D534,D534*(1+(F534+MAX(0,10-G534))/30)))</f>
        <v/>
      </c>
      <c r="J534" s="16" t="str">
        <f aca="false">IF(A534="","",IF(AND(C534="yes",N(G534)&gt;=7),N(E534),0))</f>
        <v/>
      </c>
      <c r="K534" s="17" t="str">
        <f aca="false">IF(A534="","",A534-WEEKDAY(A534,3))</f>
        <v/>
      </c>
      <c r="L534" s="11"/>
    </row>
    <row r="535" customFormat="false" ht="15" hidden="false" customHeight="false" outlineLevel="0" collapsed="false">
      <c r="A535" s="10"/>
      <c r="B535" s="11"/>
      <c r="C535" s="11"/>
      <c r="D535" s="11"/>
      <c r="E535" s="11"/>
      <c r="F535" s="11"/>
      <c r="G535" s="11"/>
      <c r="H535" s="15" t="str">
        <f aca="false">IF(OR(D535="",F535=""),"",IF(F535&lt;=1,D535,D535*(1+F535/30)))</f>
        <v/>
      </c>
      <c r="I535" s="15" t="str">
        <f aca="false">IF(OR(D535="",F535="",G535=""),"",IF(F535+MAX(0,10-G535)&lt;=1,D535,D535*(1+(F535+MAX(0,10-G535))/30)))</f>
        <v/>
      </c>
      <c r="J535" s="16" t="str">
        <f aca="false">IF(A535="","",IF(AND(C535="yes",N(G535)&gt;=7),N(E535),0))</f>
        <v/>
      </c>
      <c r="K535" s="17" t="str">
        <f aca="false">IF(A535="","",A535-WEEKDAY(A535,3))</f>
        <v/>
      </c>
      <c r="L535" s="11"/>
    </row>
    <row r="536" customFormat="false" ht="15" hidden="false" customHeight="false" outlineLevel="0" collapsed="false">
      <c r="A536" s="10"/>
      <c r="B536" s="11"/>
      <c r="C536" s="11"/>
      <c r="D536" s="11"/>
      <c r="E536" s="11"/>
      <c r="F536" s="11"/>
      <c r="G536" s="11"/>
      <c r="H536" s="15" t="str">
        <f aca="false">IF(OR(D536="",F536=""),"",IF(F536&lt;=1,D536,D536*(1+F536/30)))</f>
        <v/>
      </c>
      <c r="I536" s="15" t="str">
        <f aca="false">IF(OR(D536="",F536="",G536=""),"",IF(F536+MAX(0,10-G536)&lt;=1,D536,D536*(1+(F536+MAX(0,10-G536))/30)))</f>
        <v/>
      </c>
      <c r="J536" s="16" t="str">
        <f aca="false">IF(A536="","",IF(AND(C536="yes",N(G536)&gt;=7),N(E536),0))</f>
        <v/>
      </c>
      <c r="K536" s="17" t="str">
        <f aca="false">IF(A536="","",A536-WEEKDAY(A536,3))</f>
        <v/>
      </c>
      <c r="L536" s="11"/>
    </row>
    <row r="537" customFormat="false" ht="15" hidden="false" customHeight="false" outlineLevel="0" collapsed="false">
      <c r="A537" s="10"/>
      <c r="B537" s="11"/>
      <c r="C537" s="11"/>
      <c r="D537" s="11"/>
      <c r="E537" s="11"/>
      <c r="F537" s="11"/>
      <c r="G537" s="11"/>
      <c r="H537" s="15" t="str">
        <f aca="false">IF(OR(D537="",F537=""),"",IF(F537&lt;=1,D537,D537*(1+F537/30)))</f>
        <v/>
      </c>
      <c r="I537" s="15" t="str">
        <f aca="false">IF(OR(D537="",F537="",G537=""),"",IF(F537+MAX(0,10-G537)&lt;=1,D537,D537*(1+(F537+MAX(0,10-G537))/30)))</f>
        <v/>
      </c>
      <c r="J537" s="16" t="str">
        <f aca="false">IF(A537="","",IF(AND(C537="yes",N(G537)&gt;=7),N(E537),0))</f>
        <v/>
      </c>
      <c r="K537" s="17" t="str">
        <f aca="false">IF(A537="","",A537-WEEKDAY(A537,3))</f>
        <v/>
      </c>
      <c r="L537" s="11"/>
    </row>
    <row r="538" customFormat="false" ht="15" hidden="false" customHeight="false" outlineLevel="0" collapsed="false">
      <c r="A538" s="10"/>
      <c r="B538" s="11"/>
      <c r="C538" s="11"/>
      <c r="D538" s="11"/>
      <c r="E538" s="11"/>
      <c r="F538" s="11"/>
      <c r="G538" s="11"/>
      <c r="H538" s="15" t="str">
        <f aca="false">IF(OR(D538="",F538=""),"",IF(F538&lt;=1,D538,D538*(1+F538/30)))</f>
        <v/>
      </c>
      <c r="I538" s="15" t="str">
        <f aca="false">IF(OR(D538="",F538="",G538=""),"",IF(F538+MAX(0,10-G538)&lt;=1,D538,D538*(1+(F538+MAX(0,10-G538))/30)))</f>
        <v/>
      </c>
      <c r="J538" s="16" t="str">
        <f aca="false">IF(A538="","",IF(AND(C538="yes",N(G538)&gt;=7),N(E538),0))</f>
        <v/>
      </c>
      <c r="K538" s="17" t="str">
        <f aca="false">IF(A538="","",A538-WEEKDAY(A538,3))</f>
        <v/>
      </c>
      <c r="L538" s="11"/>
    </row>
    <row r="539" customFormat="false" ht="15" hidden="false" customHeight="false" outlineLevel="0" collapsed="false">
      <c r="A539" s="10"/>
      <c r="B539" s="11"/>
      <c r="C539" s="11"/>
      <c r="D539" s="11"/>
      <c r="E539" s="11"/>
      <c r="F539" s="11"/>
      <c r="G539" s="11"/>
      <c r="H539" s="15" t="str">
        <f aca="false">IF(OR(D539="",F539=""),"",IF(F539&lt;=1,D539,D539*(1+F539/30)))</f>
        <v/>
      </c>
      <c r="I539" s="15" t="str">
        <f aca="false">IF(OR(D539="",F539="",G539=""),"",IF(F539+MAX(0,10-G539)&lt;=1,D539,D539*(1+(F539+MAX(0,10-G539))/30)))</f>
        <v/>
      </c>
      <c r="J539" s="16" t="str">
        <f aca="false">IF(A539="","",IF(AND(C539="yes",N(G539)&gt;=7),N(E539),0))</f>
        <v/>
      </c>
      <c r="K539" s="17" t="str">
        <f aca="false">IF(A539="","",A539-WEEKDAY(A539,3))</f>
        <v/>
      </c>
      <c r="L539" s="11"/>
    </row>
    <row r="540" customFormat="false" ht="15" hidden="false" customHeight="false" outlineLevel="0" collapsed="false">
      <c r="A540" s="10"/>
      <c r="B540" s="11"/>
      <c r="C540" s="11"/>
      <c r="D540" s="11"/>
      <c r="E540" s="11"/>
      <c r="F540" s="11"/>
      <c r="G540" s="11"/>
      <c r="H540" s="15" t="str">
        <f aca="false">IF(OR(D540="",F540=""),"",IF(F540&lt;=1,D540,D540*(1+F540/30)))</f>
        <v/>
      </c>
      <c r="I540" s="15" t="str">
        <f aca="false">IF(OR(D540="",F540="",G540=""),"",IF(F540+MAX(0,10-G540)&lt;=1,D540,D540*(1+(F540+MAX(0,10-G540))/30)))</f>
        <v/>
      </c>
      <c r="J540" s="16" t="str">
        <f aca="false">IF(A540="","",IF(AND(C540="yes",N(G540)&gt;=7),N(E540),0))</f>
        <v/>
      </c>
      <c r="K540" s="17" t="str">
        <f aca="false">IF(A540="","",A540-WEEKDAY(A540,3))</f>
        <v/>
      </c>
      <c r="L540" s="11"/>
    </row>
    <row r="541" customFormat="false" ht="15" hidden="false" customHeight="false" outlineLevel="0" collapsed="false">
      <c r="A541" s="10"/>
      <c r="B541" s="11"/>
      <c r="C541" s="11"/>
      <c r="D541" s="11"/>
      <c r="E541" s="11"/>
      <c r="F541" s="11"/>
      <c r="G541" s="11"/>
      <c r="H541" s="15" t="str">
        <f aca="false">IF(OR(D541="",F541=""),"",IF(F541&lt;=1,D541,D541*(1+F541/30)))</f>
        <v/>
      </c>
      <c r="I541" s="15" t="str">
        <f aca="false">IF(OR(D541="",F541="",G541=""),"",IF(F541+MAX(0,10-G541)&lt;=1,D541,D541*(1+(F541+MAX(0,10-G541))/30)))</f>
        <v/>
      </c>
      <c r="J541" s="16" t="str">
        <f aca="false">IF(A541="","",IF(AND(C541="yes",N(G541)&gt;=7),N(E541),0))</f>
        <v/>
      </c>
      <c r="K541" s="17" t="str">
        <f aca="false">IF(A541="","",A541-WEEKDAY(A541,3))</f>
        <v/>
      </c>
      <c r="L541" s="11"/>
    </row>
    <row r="542" customFormat="false" ht="15" hidden="false" customHeight="false" outlineLevel="0" collapsed="false">
      <c r="A542" s="10"/>
      <c r="B542" s="11"/>
      <c r="C542" s="11"/>
      <c r="D542" s="11"/>
      <c r="E542" s="11"/>
      <c r="F542" s="11"/>
      <c r="G542" s="11"/>
      <c r="H542" s="15" t="str">
        <f aca="false">IF(OR(D542="",F542=""),"",IF(F542&lt;=1,D542,D542*(1+F542/30)))</f>
        <v/>
      </c>
      <c r="I542" s="15" t="str">
        <f aca="false">IF(OR(D542="",F542="",G542=""),"",IF(F542+MAX(0,10-G542)&lt;=1,D542,D542*(1+(F542+MAX(0,10-G542))/30)))</f>
        <v/>
      </c>
      <c r="J542" s="16" t="str">
        <f aca="false">IF(A542="","",IF(AND(C542="yes",N(G542)&gt;=7),N(E542),0))</f>
        <v/>
      </c>
      <c r="K542" s="17" t="str">
        <f aca="false">IF(A542="","",A542-WEEKDAY(A542,3))</f>
        <v/>
      </c>
      <c r="L542" s="11"/>
    </row>
    <row r="543" customFormat="false" ht="15" hidden="false" customHeight="false" outlineLevel="0" collapsed="false">
      <c r="A543" s="10"/>
      <c r="B543" s="11"/>
      <c r="C543" s="11"/>
      <c r="D543" s="11"/>
      <c r="E543" s="11"/>
      <c r="F543" s="11"/>
      <c r="G543" s="11"/>
      <c r="H543" s="15" t="str">
        <f aca="false">IF(OR(D543="",F543=""),"",IF(F543&lt;=1,D543,D543*(1+F543/30)))</f>
        <v/>
      </c>
      <c r="I543" s="15" t="str">
        <f aca="false">IF(OR(D543="",F543="",G543=""),"",IF(F543+MAX(0,10-G543)&lt;=1,D543,D543*(1+(F543+MAX(0,10-G543))/30)))</f>
        <v/>
      </c>
      <c r="J543" s="16" t="str">
        <f aca="false">IF(A543="","",IF(AND(C543="yes",N(G543)&gt;=7),N(E543),0))</f>
        <v/>
      </c>
      <c r="K543" s="17" t="str">
        <f aca="false">IF(A543="","",A543-WEEKDAY(A543,3))</f>
        <v/>
      </c>
      <c r="L543" s="11"/>
    </row>
    <row r="544" customFormat="false" ht="15" hidden="false" customHeight="false" outlineLevel="0" collapsed="false">
      <c r="A544" s="10"/>
      <c r="B544" s="11"/>
      <c r="C544" s="11"/>
      <c r="D544" s="11"/>
      <c r="E544" s="11"/>
      <c r="F544" s="11"/>
      <c r="G544" s="11"/>
      <c r="H544" s="15" t="str">
        <f aca="false">IF(OR(D544="",F544=""),"",IF(F544&lt;=1,D544,D544*(1+F544/30)))</f>
        <v/>
      </c>
      <c r="I544" s="15" t="str">
        <f aca="false">IF(OR(D544="",F544="",G544=""),"",IF(F544+MAX(0,10-G544)&lt;=1,D544,D544*(1+(F544+MAX(0,10-G544))/30)))</f>
        <v/>
      </c>
      <c r="J544" s="16" t="str">
        <f aca="false">IF(A544="","",IF(AND(C544="yes",N(G544)&gt;=7),N(E544),0))</f>
        <v/>
      </c>
      <c r="K544" s="17" t="str">
        <f aca="false">IF(A544="","",A544-WEEKDAY(A544,3))</f>
        <v/>
      </c>
      <c r="L544" s="11"/>
    </row>
    <row r="545" customFormat="false" ht="15" hidden="false" customHeight="false" outlineLevel="0" collapsed="false">
      <c r="A545" s="10"/>
      <c r="B545" s="11"/>
      <c r="C545" s="11"/>
      <c r="D545" s="11"/>
      <c r="E545" s="11"/>
      <c r="F545" s="11"/>
      <c r="G545" s="11"/>
      <c r="H545" s="15" t="str">
        <f aca="false">IF(OR(D545="",F545=""),"",IF(F545&lt;=1,D545,D545*(1+F545/30)))</f>
        <v/>
      </c>
      <c r="I545" s="15" t="str">
        <f aca="false">IF(OR(D545="",F545="",G545=""),"",IF(F545+MAX(0,10-G545)&lt;=1,D545,D545*(1+(F545+MAX(0,10-G545))/30)))</f>
        <v/>
      </c>
      <c r="J545" s="16" t="str">
        <f aca="false">IF(A545="","",IF(AND(C545="yes",N(G545)&gt;=7),N(E545),0))</f>
        <v/>
      </c>
      <c r="K545" s="17" t="str">
        <f aca="false">IF(A545="","",A545-WEEKDAY(A545,3))</f>
        <v/>
      </c>
      <c r="L545" s="11"/>
    </row>
    <row r="546" customFormat="false" ht="15" hidden="false" customHeight="false" outlineLevel="0" collapsed="false">
      <c r="A546" s="10"/>
      <c r="B546" s="11"/>
      <c r="C546" s="11"/>
      <c r="D546" s="11"/>
      <c r="E546" s="11"/>
      <c r="F546" s="11"/>
      <c r="G546" s="11"/>
      <c r="H546" s="15" t="str">
        <f aca="false">IF(OR(D546="",F546=""),"",IF(F546&lt;=1,D546,D546*(1+F546/30)))</f>
        <v/>
      </c>
      <c r="I546" s="15" t="str">
        <f aca="false">IF(OR(D546="",F546="",G546=""),"",IF(F546+MAX(0,10-G546)&lt;=1,D546,D546*(1+(F546+MAX(0,10-G546))/30)))</f>
        <v/>
      </c>
      <c r="J546" s="16" t="str">
        <f aca="false">IF(A546="","",IF(AND(C546="yes",N(G546)&gt;=7),N(E546),0))</f>
        <v/>
      </c>
      <c r="K546" s="17" t="str">
        <f aca="false">IF(A546="","",A546-WEEKDAY(A546,3))</f>
        <v/>
      </c>
      <c r="L546" s="11"/>
    </row>
    <row r="547" customFormat="false" ht="15" hidden="false" customHeight="false" outlineLevel="0" collapsed="false">
      <c r="A547" s="10"/>
      <c r="B547" s="11"/>
      <c r="C547" s="11"/>
      <c r="D547" s="11"/>
      <c r="E547" s="11"/>
      <c r="F547" s="11"/>
      <c r="G547" s="11"/>
      <c r="H547" s="15" t="str">
        <f aca="false">IF(OR(D547="",F547=""),"",IF(F547&lt;=1,D547,D547*(1+F547/30)))</f>
        <v/>
      </c>
      <c r="I547" s="15" t="str">
        <f aca="false">IF(OR(D547="",F547="",G547=""),"",IF(F547+MAX(0,10-G547)&lt;=1,D547,D547*(1+(F547+MAX(0,10-G547))/30)))</f>
        <v/>
      </c>
      <c r="J547" s="16" t="str">
        <f aca="false">IF(A547="","",IF(AND(C547="yes",N(G547)&gt;=7),N(E547),0))</f>
        <v/>
      </c>
      <c r="K547" s="17" t="str">
        <f aca="false">IF(A547="","",A547-WEEKDAY(A547,3))</f>
        <v/>
      </c>
      <c r="L547" s="11"/>
    </row>
    <row r="548" customFormat="false" ht="15" hidden="false" customHeight="false" outlineLevel="0" collapsed="false">
      <c r="A548" s="10"/>
      <c r="B548" s="11"/>
      <c r="C548" s="11"/>
      <c r="D548" s="11"/>
      <c r="E548" s="11"/>
      <c r="F548" s="11"/>
      <c r="G548" s="11"/>
      <c r="H548" s="15" t="str">
        <f aca="false">IF(OR(D548="",F548=""),"",IF(F548&lt;=1,D548,D548*(1+F548/30)))</f>
        <v/>
      </c>
      <c r="I548" s="15" t="str">
        <f aca="false">IF(OR(D548="",F548="",G548=""),"",IF(F548+MAX(0,10-G548)&lt;=1,D548,D548*(1+(F548+MAX(0,10-G548))/30)))</f>
        <v/>
      </c>
      <c r="J548" s="16" t="str">
        <f aca="false">IF(A548="","",IF(AND(C548="yes",N(G548)&gt;=7),N(E548),0))</f>
        <v/>
      </c>
      <c r="K548" s="17" t="str">
        <f aca="false">IF(A548="","",A548-WEEKDAY(A548,3))</f>
        <v/>
      </c>
      <c r="L548" s="11"/>
    </row>
    <row r="549" customFormat="false" ht="15" hidden="false" customHeight="false" outlineLevel="0" collapsed="false">
      <c r="A549" s="10"/>
      <c r="B549" s="11"/>
      <c r="C549" s="11"/>
      <c r="D549" s="11"/>
      <c r="E549" s="11"/>
      <c r="F549" s="11"/>
      <c r="G549" s="11"/>
      <c r="H549" s="15" t="str">
        <f aca="false">IF(OR(D549="",F549=""),"",IF(F549&lt;=1,D549,D549*(1+F549/30)))</f>
        <v/>
      </c>
      <c r="I549" s="15" t="str">
        <f aca="false">IF(OR(D549="",F549="",G549=""),"",IF(F549+MAX(0,10-G549)&lt;=1,D549,D549*(1+(F549+MAX(0,10-G549))/30)))</f>
        <v/>
      </c>
      <c r="J549" s="16" t="str">
        <f aca="false">IF(A549="","",IF(AND(C549="yes",N(G549)&gt;=7),N(E549),0))</f>
        <v/>
      </c>
      <c r="K549" s="17" t="str">
        <f aca="false">IF(A549="","",A549-WEEKDAY(A549,3))</f>
        <v/>
      </c>
      <c r="L549" s="11"/>
    </row>
    <row r="550" customFormat="false" ht="15" hidden="false" customHeight="false" outlineLevel="0" collapsed="false">
      <c r="A550" s="10"/>
      <c r="B550" s="11"/>
      <c r="C550" s="11"/>
      <c r="D550" s="11"/>
      <c r="E550" s="11"/>
      <c r="F550" s="11"/>
      <c r="G550" s="11"/>
      <c r="H550" s="15" t="str">
        <f aca="false">IF(OR(D550="",F550=""),"",IF(F550&lt;=1,D550,D550*(1+F550/30)))</f>
        <v/>
      </c>
      <c r="I550" s="15" t="str">
        <f aca="false">IF(OR(D550="",F550="",G550=""),"",IF(F550+MAX(0,10-G550)&lt;=1,D550,D550*(1+(F550+MAX(0,10-G550))/30)))</f>
        <v/>
      </c>
      <c r="J550" s="16" t="str">
        <f aca="false">IF(A550="","",IF(AND(C550="yes",N(G550)&gt;=7),N(E550),0))</f>
        <v/>
      </c>
      <c r="K550" s="17" t="str">
        <f aca="false">IF(A550="","",A550-WEEKDAY(A550,3))</f>
        <v/>
      </c>
      <c r="L550" s="11"/>
    </row>
    <row r="551" customFormat="false" ht="15" hidden="false" customHeight="false" outlineLevel="0" collapsed="false">
      <c r="A551" s="10"/>
      <c r="B551" s="11"/>
      <c r="C551" s="11"/>
      <c r="D551" s="11"/>
      <c r="E551" s="11"/>
      <c r="F551" s="11"/>
      <c r="G551" s="11"/>
      <c r="H551" s="15" t="str">
        <f aca="false">IF(OR(D551="",F551=""),"",IF(F551&lt;=1,D551,D551*(1+F551/30)))</f>
        <v/>
      </c>
      <c r="I551" s="15" t="str">
        <f aca="false">IF(OR(D551="",F551="",G551=""),"",IF(F551+MAX(0,10-G551)&lt;=1,D551,D551*(1+(F551+MAX(0,10-G551))/30)))</f>
        <v/>
      </c>
      <c r="J551" s="16" t="str">
        <f aca="false">IF(A551="","",IF(AND(C551="yes",N(G551)&gt;=7),N(E551),0))</f>
        <v/>
      </c>
      <c r="K551" s="17" t="str">
        <f aca="false">IF(A551="","",A551-WEEKDAY(A551,3))</f>
        <v/>
      </c>
      <c r="L551" s="11"/>
    </row>
    <row r="552" customFormat="false" ht="15" hidden="false" customHeight="false" outlineLevel="0" collapsed="false">
      <c r="A552" s="10"/>
      <c r="B552" s="11"/>
      <c r="C552" s="11"/>
      <c r="D552" s="11"/>
      <c r="E552" s="11"/>
      <c r="F552" s="11"/>
      <c r="G552" s="11"/>
      <c r="H552" s="15" t="str">
        <f aca="false">IF(OR(D552="",F552=""),"",IF(F552&lt;=1,D552,D552*(1+F552/30)))</f>
        <v/>
      </c>
      <c r="I552" s="15" t="str">
        <f aca="false">IF(OR(D552="",F552="",G552=""),"",IF(F552+MAX(0,10-G552)&lt;=1,D552,D552*(1+(F552+MAX(0,10-G552))/30)))</f>
        <v/>
      </c>
      <c r="J552" s="16" t="str">
        <f aca="false">IF(A552="","",IF(AND(C552="yes",N(G552)&gt;=7),N(E552),0))</f>
        <v/>
      </c>
      <c r="K552" s="17" t="str">
        <f aca="false">IF(A552="","",A552-WEEKDAY(A552,3))</f>
        <v/>
      </c>
      <c r="L552" s="11"/>
    </row>
    <row r="553" customFormat="false" ht="15" hidden="false" customHeight="false" outlineLevel="0" collapsed="false">
      <c r="A553" s="10"/>
      <c r="B553" s="11"/>
      <c r="C553" s="11"/>
      <c r="D553" s="11"/>
      <c r="E553" s="11"/>
      <c r="F553" s="11"/>
      <c r="G553" s="11"/>
      <c r="H553" s="15" t="str">
        <f aca="false">IF(OR(D553="",F553=""),"",IF(F553&lt;=1,D553,D553*(1+F553/30)))</f>
        <v/>
      </c>
      <c r="I553" s="15" t="str">
        <f aca="false">IF(OR(D553="",F553="",G553=""),"",IF(F553+MAX(0,10-G553)&lt;=1,D553,D553*(1+(F553+MAX(0,10-G553))/30)))</f>
        <v/>
      </c>
      <c r="J553" s="16" t="str">
        <f aca="false">IF(A553="","",IF(AND(C553="yes",N(G553)&gt;=7),N(E553),0))</f>
        <v/>
      </c>
      <c r="K553" s="17" t="str">
        <f aca="false">IF(A553="","",A553-WEEKDAY(A553,3))</f>
        <v/>
      </c>
      <c r="L553" s="11"/>
    </row>
    <row r="554" customFormat="false" ht="15" hidden="false" customHeight="false" outlineLevel="0" collapsed="false">
      <c r="A554" s="10"/>
      <c r="B554" s="11"/>
      <c r="C554" s="11"/>
      <c r="D554" s="11"/>
      <c r="E554" s="11"/>
      <c r="F554" s="11"/>
      <c r="G554" s="11"/>
      <c r="H554" s="15" t="str">
        <f aca="false">IF(OR(D554="",F554=""),"",IF(F554&lt;=1,D554,D554*(1+F554/30)))</f>
        <v/>
      </c>
      <c r="I554" s="15" t="str">
        <f aca="false">IF(OR(D554="",F554="",G554=""),"",IF(F554+MAX(0,10-G554)&lt;=1,D554,D554*(1+(F554+MAX(0,10-G554))/30)))</f>
        <v/>
      </c>
      <c r="J554" s="16" t="str">
        <f aca="false">IF(A554="","",IF(AND(C554="yes",N(G554)&gt;=7),N(E554),0))</f>
        <v/>
      </c>
      <c r="K554" s="17" t="str">
        <f aca="false">IF(A554="","",A554-WEEKDAY(A554,3))</f>
        <v/>
      </c>
      <c r="L554" s="11"/>
    </row>
    <row r="555" customFormat="false" ht="15" hidden="false" customHeight="false" outlineLevel="0" collapsed="false">
      <c r="A555" s="10"/>
      <c r="B555" s="11"/>
      <c r="C555" s="11"/>
      <c r="D555" s="11"/>
      <c r="E555" s="11"/>
      <c r="F555" s="11"/>
      <c r="G555" s="11"/>
      <c r="H555" s="15" t="str">
        <f aca="false">IF(OR(D555="",F555=""),"",IF(F555&lt;=1,D555,D555*(1+F555/30)))</f>
        <v/>
      </c>
      <c r="I555" s="15" t="str">
        <f aca="false">IF(OR(D555="",F555="",G555=""),"",IF(F555+MAX(0,10-G555)&lt;=1,D555,D555*(1+(F555+MAX(0,10-G555))/30)))</f>
        <v/>
      </c>
      <c r="J555" s="16" t="str">
        <f aca="false">IF(A555="","",IF(AND(C555="yes",N(G555)&gt;=7),N(E555),0))</f>
        <v/>
      </c>
      <c r="K555" s="17" t="str">
        <f aca="false">IF(A555="","",A555-WEEKDAY(A555,3))</f>
        <v/>
      </c>
      <c r="L555" s="11"/>
    </row>
    <row r="556" customFormat="false" ht="15" hidden="false" customHeight="false" outlineLevel="0" collapsed="false">
      <c r="A556" s="10"/>
      <c r="B556" s="11"/>
      <c r="C556" s="11"/>
      <c r="D556" s="11"/>
      <c r="E556" s="11"/>
      <c r="F556" s="11"/>
      <c r="G556" s="11"/>
      <c r="H556" s="15" t="str">
        <f aca="false">IF(OR(D556="",F556=""),"",IF(F556&lt;=1,D556,D556*(1+F556/30)))</f>
        <v/>
      </c>
      <c r="I556" s="15" t="str">
        <f aca="false">IF(OR(D556="",F556="",G556=""),"",IF(F556+MAX(0,10-G556)&lt;=1,D556,D556*(1+(F556+MAX(0,10-G556))/30)))</f>
        <v/>
      </c>
      <c r="J556" s="16" t="str">
        <f aca="false">IF(A556="","",IF(AND(C556="yes",N(G556)&gt;=7),N(E556),0))</f>
        <v/>
      </c>
      <c r="K556" s="17" t="str">
        <f aca="false">IF(A556="","",A556-WEEKDAY(A556,3))</f>
        <v/>
      </c>
      <c r="L556" s="11"/>
    </row>
    <row r="557" customFormat="false" ht="15" hidden="false" customHeight="false" outlineLevel="0" collapsed="false">
      <c r="A557" s="10"/>
      <c r="B557" s="11"/>
      <c r="C557" s="11"/>
      <c r="D557" s="11"/>
      <c r="E557" s="11"/>
      <c r="F557" s="11"/>
      <c r="G557" s="11"/>
      <c r="H557" s="15" t="str">
        <f aca="false">IF(OR(D557="",F557=""),"",IF(F557&lt;=1,D557,D557*(1+F557/30)))</f>
        <v/>
      </c>
      <c r="I557" s="15" t="str">
        <f aca="false">IF(OR(D557="",F557="",G557=""),"",IF(F557+MAX(0,10-G557)&lt;=1,D557,D557*(1+(F557+MAX(0,10-G557))/30)))</f>
        <v/>
      </c>
      <c r="J557" s="16" t="str">
        <f aca="false">IF(A557="","",IF(AND(C557="yes",N(G557)&gt;=7),N(E557),0))</f>
        <v/>
      </c>
      <c r="K557" s="17" t="str">
        <f aca="false">IF(A557="","",A557-WEEKDAY(A557,3))</f>
        <v/>
      </c>
      <c r="L557" s="11"/>
    </row>
    <row r="558" customFormat="false" ht="15" hidden="false" customHeight="false" outlineLevel="0" collapsed="false">
      <c r="A558" s="10"/>
      <c r="B558" s="11"/>
      <c r="C558" s="11"/>
      <c r="D558" s="11"/>
      <c r="E558" s="11"/>
      <c r="F558" s="11"/>
      <c r="G558" s="11"/>
      <c r="H558" s="15" t="str">
        <f aca="false">IF(OR(D558="",F558=""),"",IF(F558&lt;=1,D558,D558*(1+F558/30)))</f>
        <v/>
      </c>
      <c r="I558" s="15" t="str">
        <f aca="false">IF(OR(D558="",F558="",G558=""),"",IF(F558+MAX(0,10-G558)&lt;=1,D558,D558*(1+(F558+MAX(0,10-G558))/30)))</f>
        <v/>
      </c>
      <c r="J558" s="16" t="str">
        <f aca="false">IF(A558="","",IF(AND(C558="yes",N(G558)&gt;=7),N(E558),0))</f>
        <v/>
      </c>
      <c r="K558" s="17" t="str">
        <f aca="false">IF(A558="","",A558-WEEKDAY(A558,3))</f>
        <v/>
      </c>
      <c r="L558" s="11"/>
    </row>
    <row r="559" customFormat="false" ht="15" hidden="false" customHeight="false" outlineLevel="0" collapsed="false">
      <c r="A559" s="10"/>
      <c r="B559" s="11"/>
      <c r="C559" s="11"/>
      <c r="D559" s="11"/>
      <c r="E559" s="11"/>
      <c r="F559" s="11"/>
      <c r="G559" s="11"/>
      <c r="H559" s="15" t="str">
        <f aca="false">IF(OR(D559="",F559=""),"",IF(F559&lt;=1,D559,D559*(1+F559/30)))</f>
        <v/>
      </c>
      <c r="I559" s="15" t="str">
        <f aca="false">IF(OR(D559="",F559="",G559=""),"",IF(F559+MAX(0,10-G559)&lt;=1,D559,D559*(1+(F559+MAX(0,10-G559))/30)))</f>
        <v/>
      </c>
      <c r="J559" s="16" t="str">
        <f aca="false">IF(A559="","",IF(AND(C559="yes",N(G559)&gt;=7),N(E559),0))</f>
        <v/>
      </c>
      <c r="K559" s="17" t="str">
        <f aca="false">IF(A559="","",A559-WEEKDAY(A559,3))</f>
        <v/>
      </c>
      <c r="L559" s="11"/>
    </row>
    <row r="560" customFormat="false" ht="15" hidden="false" customHeight="false" outlineLevel="0" collapsed="false">
      <c r="A560" s="10"/>
      <c r="B560" s="11"/>
      <c r="C560" s="11"/>
      <c r="D560" s="11"/>
      <c r="E560" s="11"/>
      <c r="F560" s="11"/>
      <c r="G560" s="11"/>
      <c r="H560" s="15" t="str">
        <f aca="false">IF(OR(D560="",F560=""),"",IF(F560&lt;=1,D560,D560*(1+F560/30)))</f>
        <v/>
      </c>
      <c r="I560" s="15" t="str">
        <f aca="false">IF(OR(D560="",F560="",G560=""),"",IF(F560+MAX(0,10-G560)&lt;=1,D560,D560*(1+(F560+MAX(0,10-G560))/30)))</f>
        <v/>
      </c>
      <c r="J560" s="16" t="str">
        <f aca="false">IF(A560="","",IF(AND(C560="yes",N(G560)&gt;=7),N(E560),0))</f>
        <v/>
      </c>
      <c r="K560" s="17" t="str">
        <f aca="false">IF(A560="","",A560-WEEKDAY(A560,3))</f>
        <v/>
      </c>
      <c r="L560" s="11"/>
    </row>
    <row r="561" customFormat="false" ht="15" hidden="false" customHeight="false" outlineLevel="0" collapsed="false">
      <c r="A561" s="10"/>
      <c r="B561" s="11"/>
      <c r="C561" s="11"/>
      <c r="D561" s="11"/>
      <c r="E561" s="11"/>
      <c r="F561" s="11"/>
      <c r="G561" s="11"/>
      <c r="H561" s="15" t="str">
        <f aca="false">IF(OR(D561="",F561=""),"",IF(F561&lt;=1,D561,D561*(1+F561/30)))</f>
        <v/>
      </c>
      <c r="I561" s="15" t="str">
        <f aca="false">IF(OR(D561="",F561="",G561=""),"",IF(F561+MAX(0,10-G561)&lt;=1,D561,D561*(1+(F561+MAX(0,10-G561))/30)))</f>
        <v/>
      </c>
      <c r="J561" s="16" t="str">
        <f aca="false">IF(A561="","",IF(AND(C561="yes",N(G561)&gt;=7),N(E561),0))</f>
        <v/>
      </c>
      <c r="K561" s="17" t="str">
        <f aca="false">IF(A561="","",A561-WEEKDAY(A561,3))</f>
        <v/>
      </c>
      <c r="L561" s="11"/>
    </row>
    <row r="562" customFormat="false" ht="15" hidden="false" customHeight="false" outlineLevel="0" collapsed="false">
      <c r="A562" s="10"/>
      <c r="B562" s="11"/>
      <c r="C562" s="11"/>
      <c r="D562" s="11"/>
      <c r="E562" s="11"/>
      <c r="F562" s="11"/>
      <c r="G562" s="11"/>
      <c r="H562" s="15" t="str">
        <f aca="false">IF(OR(D562="",F562=""),"",IF(F562&lt;=1,D562,D562*(1+F562/30)))</f>
        <v/>
      </c>
      <c r="I562" s="15" t="str">
        <f aca="false">IF(OR(D562="",F562="",G562=""),"",IF(F562+MAX(0,10-G562)&lt;=1,D562,D562*(1+(F562+MAX(0,10-G562))/30)))</f>
        <v/>
      </c>
      <c r="J562" s="16" t="str">
        <f aca="false">IF(A562="","",IF(AND(C562="yes",N(G562)&gt;=7),N(E562),0))</f>
        <v/>
      </c>
      <c r="K562" s="17" t="str">
        <f aca="false">IF(A562="","",A562-WEEKDAY(A562,3))</f>
        <v/>
      </c>
      <c r="L562" s="11"/>
    </row>
    <row r="563" customFormat="false" ht="15" hidden="false" customHeight="false" outlineLevel="0" collapsed="false">
      <c r="A563" s="10"/>
      <c r="B563" s="11"/>
      <c r="C563" s="11"/>
      <c r="D563" s="11"/>
      <c r="E563" s="11"/>
      <c r="F563" s="11"/>
      <c r="G563" s="11"/>
      <c r="H563" s="15" t="str">
        <f aca="false">IF(OR(D563="",F563=""),"",IF(F563&lt;=1,D563,D563*(1+F563/30)))</f>
        <v/>
      </c>
      <c r="I563" s="15" t="str">
        <f aca="false">IF(OR(D563="",F563="",G563=""),"",IF(F563+MAX(0,10-G563)&lt;=1,D563,D563*(1+(F563+MAX(0,10-G563))/30)))</f>
        <v/>
      </c>
      <c r="J563" s="16" t="str">
        <f aca="false">IF(A563="","",IF(AND(C563="yes",N(G563)&gt;=7),N(E563),0))</f>
        <v/>
      </c>
      <c r="K563" s="17" t="str">
        <f aca="false">IF(A563="","",A563-WEEKDAY(A563,3))</f>
        <v/>
      </c>
      <c r="L563" s="11"/>
    </row>
    <row r="564" customFormat="false" ht="15" hidden="false" customHeight="false" outlineLevel="0" collapsed="false">
      <c r="A564" s="10"/>
      <c r="B564" s="11"/>
      <c r="C564" s="11"/>
      <c r="D564" s="11"/>
      <c r="E564" s="11"/>
      <c r="F564" s="11"/>
      <c r="G564" s="11"/>
      <c r="H564" s="15" t="str">
        <f aca="false">IF(OR(D564="",F564=""),"",IF(F564&lt;=1,D564,D564*(1+F564/30)))</f>
        <v/>
      </c>
      <c r="I564" s="15" t="str">
        <f aca="false">IF(OR(D564="",F564="",G564=""),"",IF(F564+MAX(0,10-G564)&lt;=1,D564,D564*(1+(F564+MAX(0,10-G564))/30)))</f>
        <v/>
      </c>
      <c r="J564" s="16" t="str">
        <f aca="false">IF(A564="","",IF(AND(C564="yes",N(G564)&gt;=7),N(E564),0))</f>
        <v/>
      </c>
      <c r="K564" s="17" t="str">
        <f aca="false">IF(A564="","",A564-WEEKDAY(A564,3))</f>
        <v/>
      </c>
      <c r="L564" s="11"/>
    </row>
    <row r="565" customFormat="false" ht="15" hidden="false" customHeight="false" outlineLevel="0" collapsed="false">
      <c r="A565" s="10"/>
      <c r="B565" s="11"/>
      <c r="C565" s="11"/>
      <c r="D565" s="11"/>
      <c r="E565" s="11"/>
      <c r="F565" s="11"/>
      <c r="G565" s="11"/>
      <c r="H565" s="15" t="str">
        <f aca="false">IF(OR(D565="",F565=""),"",IF(F565&lt;=1,D565,D565*(1+F565/30)))</f>
        <v/>
      </c>
      <c r="I565" s="15" t="str">
        <f aca="false">IF(OR(D565="",F565="",G565=""),"",IF(F565+MAX(0,10-G565)&lt;=1,D565,D565*(1+(F565+MAX(0,10-G565))/30)))</f>
        <v/>
      </c>
      <c r="J565" s="16" t="str">
        <f aca="false">IF(A565="","",IF(AND(C565="yes",N(G565)&gt;=7),N(E565),0))</f>
        <v/>
      </c>
      <c r="K565" s="17" t="str">
        <f aca="false">IF(A565="","",A565-WEEKDAY(A565,3))</f>
        <v/>
      </c>
      <c r="L565" s="11"/>
    </row>
    <row r="566" customFormat="false" ht="15" hidden="false" customHeight="false" outlineLevel="0" collapsed="false">
      <c r="A566" s="10"/>
      <c r="B566" s="11"/>
      <c r="C566" s="11"/>
      <c r="D566" s="11"/>
      <c r="E566" s="11"/>
      <c r="F566" s="11"/>
      <c r="G566" s="11"/>
      <c r="H566" s="15" t="str">
        <f aca="false">IF(OR(D566="",F566=""),"",IF(F566&lt;=1,D566,D566*(1+F566/30)))</f>
        <v/>
      </c>
      <c r="I566" s="15" t="str">
        <f aca="false">IF(OR(D566="",F566="",G566=""),"",IF(F566+MAX(0,10-G566)&lt;=1,D566,D566*(1+(F566+MAX(0,10-G566))/30)))</f>
        <v/>
      </c>
      <c r="J566" s="16" t="str">
        <f aca="false">IF(A566="","",IF(AND(C566="yes",N(G566)&gt;=7),N(E566),0))</f>
        <v/>
      </c>
      <c r="K566" s="17" t="str">
        <f aca="false">IF(A566="","",A566-WEEKDAY(A566,3))</f>
        <v/>
      </c>
      <c r="L566" s="11"/>
    </row>
    <row r="567" customFormat="false" ht="15" hidden="false" customHeight="false" outlineLevel="0" collapsed="false">
      <c r="A567" s="10"/>
      <c r="B567" s="11"/>
      <c r="C567" s="11"/>
      <c r="D567" s="11"/>
      <c r="E567" s="11"/>
      <c r="F567" s="11"/>
      <c r="G567" s="11"/>
      <c r="H567" s="15" t="str">
        <f aca="false">IF(OR(D567="",F567=""),"",IF(F567&lt;=1,D567,D567*(1+F567/30)))</f>
        <v/>
      </c>
      <c r="I567" s="15" t="str">
        <f aca="false">IF(OR(D567="",F567="",G567=""),"",IF(F567+MAX(0,10-G567)&lt;=1,D567,D567*(1+(F567+MAX(0,10-G567))/30)))</f>
        <v/>
      </c>
      <c r="J567" s="16" t="str">
        <f aca="false">IF(A567="","",IF(AND(C567="yes",N(G567)&gt;=7),N(E567),0))</f>
        <v/>
      </c>
      <c r="K567" s="17" t="str">
        <f aca="false">IF(A567="","",A567-WEEKDAY(A567,3))</f>
        <v/>
      </c>
      <c r="L567" s="11"/>
    </row>
    <row r="568" customFormat="false" ht="15" hidden="false" customHeight="false" outlineLevel="0" collapsed="false">
      <c r="A568" s="10"/>
      <c r="B568" s="11"/>
      <c r="C568" s="11"/>
      <c r="D568" s="11"/>
      <c r="E568" s="11"/>
      <c r="F568" s="11"/>
      <c r="G568" s="11"/>
      <c r="H568" s="15" t="str">
        <f aca="false">IF(OR(D568="",F568=""),"",IF(F568&lt;=1,D568,D568*(1+F568/30)))</f>
        <v/>
      </c>
      <c r="I568" s="15" t="str">
        <f aca="false">IF(OR(D568="",F568="",G568=""),"",IF(F568+MAX(0,10-G568)&lt;=1,D568,D568*(1+(F568+MAX(0,10-G568))/30)))</f>
        <v/>
      </c>
      <c r="J568" s="16" t="str">
        <f aca="false">IF(A568="","",IF(AND(C568="yes",N(G568)&gt;=7),N(E568),0))</f>
        <v/>
      </c>
      <c r="K568" s="17" t="str">
        <f aca="false">IF(A568="","",A568-WEEKDAY(A568,3))</f>
        <v/>
      </c>
      <c r="L568" s="11"/>
    </row>
    <row r="569" customFormat="false" ht="15" hidden="false" customHeight="false" outlineLevel="0" collapsed="false">
      <c r="A569" s="10"/>
      <c r="B569" s="11"/>
      <c r="C569" s="11"/>
      <c r="D569" s="11"/>
      <c r="E569" s="11"/>
      <c r="F569" s="11"/>
      <c r="G569" s="11"/>
      <c r="H569" s="15" t="str">
        <f aca="false">IF(OR(D569="",F569=""),"",IF(F569&lt;=1,D569,D569*(1+F569/30)))</f>
        <v/>
      </c>
      <c r="I569" s="15" t="str">
        <f aca="false">IF(OR(D569="",F569="",G569=""),"",IF(F569+MAX(0,10-G569)&lt;=1,D569,D569*(1+(F569+MAX(0,10-G569))/30)))</f>
        <v/>
      </c>
      <c r="J569" s="16" t="str">
        <f aca="false">IF(A569="","",IF(AND(C569="yes",N(G569)&gt;=7),N(E569),0))</f>
        <v/>
      </c>
      <c r="K569" s="17" t="str">
        <f aca="false">IF(A569="","",A569-WEEKDAY(A569,3))</f>
        <v/>
      </c>
      <c r="L569" s="11"/>
    </row>
    <row r="570" customFormat="false" ht="15" hidden="false" customHeight="false" outlineLevel="0" collapsed="false">
      <c r="A570" s="10"/>
      <c r="B570" s="11"/>
      <c r="C570" s="11"/>
      <c r="D570" s="11"/>
      <c r="E570" s="11"/>
      <c r="F570" s="11"/>
      <c r="G570" s="11"/>
      <c r="H570" s="15" t="str">
        <f aca="false">IF(OR(D570="",F570=""),"",IF(F570&lt;=1,D570,D570*(1+F570/30)))</f>
        <v/>
      </c>
      <c r="I570" s="15" t="str">
        <f aca="false">IF(OR(D570="",F570="",G570=""),"",IF(F570+MAX(0,10-G570)&lt;=1,D570,D570*(1+(F570+MAX(0,10-G570))/30)))</f>
        <v/>
      </c>
      <c r="J570" s="16" t="str">
        <f aca="false">IF(A570="","",IF(AND(C570="yes",N(G570)&gt;=7),N(E570),0))</f>
        <v/>
      </c>
      <c r="K570" s="17" t="str">
        <f aca="false">IF(A570="","",A570-WEEKDAY(A570,3))</f>
        <v/>
      </c>
      <c r="L570" s="11"/>
    </row>
    <row r="571" customFormat="false" ht="15" hidden="false" customHeight="false" outlineLevel="0" collapsed="false">
      <c r="A571" s="10"/>
      <c r="B571" s="11"/>
      <c r="C571" s="11"/>
      <c r="D571" s="11"/>
      <c r="E571" s="11"/>
      <c r="F571" s="11"/>
      <c r="G571" s="11"/>
      <c r="H571" s="15" t="str">
        <f aca="false">IF(OR(D571="",F571=""),"",IF(F571&lt;=1,D571,D571*(1+F571/30)))</f>
        <v/>
      </c>
      <c r="I571" s="15" t="str">
        <f aca="false">IF(OR(D571="",F571="",G571=""),"",IF(F571+MAX(0,10-G571)&lt;=1,D571,D571*(1+(F571+MAX(0,10-G571))/30)))</f>
        <v/>
      </c>
      <c r="J571" s="16" t="str">
        <f aca="false">IF(A571="","",IF(AND(C571="yes",N(G571)&gt;=7),N(E571),0))</f>
        <v/>
      </c>
      <c r="K571" s="17" t="str">
        <f aca="false">IF(A571="","",A571-WEEKDAY(A571,3))</f>
        <v/>
      </c>
      <c r="L571" s="11"/>
    </row>
    <row r="572" customFormat="false" ht="15" hidden="false" customHeight="false" outlineLevel="0" collapsed="false">
      <c r="A572" s="10"/>
      <c r="B572" s="11"/>
      <c r="C572" s="11"/>
      <c r="D572" s="11"/>
      <c r="E572" s="11"/>
      <c r="F572" s="11"/>
      <c r="G572" s="11"/>
      <c r="H572" s="15" t="str">
        <f aca="false">IF(OR(D572="",F572=""),"",IF(F572&lt;=1,D572,D572*(1+F572/30)))</f>
        <v/>
      </c>
      <c r="I572" s="15" t="str">
        <f aca="false">IF(OR(D572="",F572="",G572=""),"",IF(F572+MAX(0,10-G572)&lt;=1,D572,D572*(1+(F572+MAX(0,10-G572))/30)))</f>
        <v/>
      </c>
      <c r="J572" s="16" t="str">
        <f aca="false">IF(A572="","",IF(AND(C572="yes",N(G572)&gt;=7),N(E572),0))</f>
        <v/>
      </c>
      <c r="K572" s="17" t="str">
        <f aca="false">IF(A572="","",A572-WEEKDAY(A572,3))</f>
        <v/>
      </c>
      <c r="L572" s="11"/>
    </row>
    <row r="573" customFormat="false" ht="15" hidden="false" customHeight="false" outlineLevel="0" collapsed="false">
      <c r="A573" s="10"/>
      <c r="B573" s="11"/>
      <c r="C573" s="11"/>
      <c r="D573" s="11"/>
      <c r="E573" s="11"/>
      <c r="F573" s="11"/>
      <c r="G573" s="11"/>
      <c r="H573" s="15" t="str">
        <f aca="false">IF(OR(D573="",F573=""),"",IF(F573&lt;=1,D573,D573*(1+F573/30)))</f>
        <v/>
      </c>
      <c r="I573" s="15" t="str">
        <f aca="false">IF(OR(D573="",F573="",G573=""),"",IF(F573+MAX(0,10-G573)&lt;=1,D573,D573*(1+(F573+MAX(0,10-G573))/30)))</f>
        <v/>
      </c>
      <c r="J573" s="16" t="str">
        <f aca="false">IF(A573="","",IF(AND(C573="yes",N(G573)&gt;=7),N(E573),0))</f>
        <v/>
      </c>
      <c r="K573" s="17" t="str">
        <f aca="false">IF(A573="","",A573-WEEKDAY(A573,3))</f>
        <v/>
      </c>
      <c r="L573" s="11"/>
    </row>
    <row r="574" customFormat="false" ht="15" hidden="false" customHeight="false" outlineLevel="0" collapsed="false">
      <c r="A574" s="10"/>
      <c r="B574" s="11"/>
      <c r="C574" s="11"/>
      <c r="D574" s="11"/>
      <c r="E574" s="11"/>
      <c r="F574" s="11"/>
      <c r="G574" s="11"/>
      <c r="H574" s="15" t="str">
        <f aca="false">IF(OR(D574="",F574=""),"",IF(F574&lt;=1,D574,D574*(1+F574/30)))</f>
        <v/>
      </c>
      <c r="I574" s="15" t="str">
        <f aca="false">IF(OR(D574="",F574="",G574=""),"",IF(F574+MAX(0,10-G574)&lt;=1,D574,D574*(1+(F574+MAX(0,10-G574))/30)))</f>
        <v/>
      </c>
      <c r="J574" s="16" t="str">
        <f aca="false">IF(A574="","",IF(AND(C574="yes",N(G574)&gt;=7),N(E574),0))</f>
        <v/>
      </c>
      <c r="K574" s="17" t="str">
        <f aca="false">IF(A574="","",A574-WEEKDAY(A574,3))</f>
        <v/>
      </c>
      <c r="L574" s="11"/>
    </row>
    <row r="575" customFormat="false" ht="15" hidden="false" customHeight="false" outlineLevel="0" collapsed="false">
      <c r="A575" s="10"/>
      <c r="B575" s="11"/>
      <c r="C575" s="11"/>
      <c r="D575" s="11"/>
      <c r="E575" s="11"/>
      <c r="F575" s="11"/>
      <c r="G575" s="11"/>
      <c r="H575" s="15" t="str">
        <f aca="false">IF(OR(D575="",F575=""),"",IF(F575&lt;=1,D575,D575*(1+F575/30)))</f>
        <v/>
      </c>
      <c r="I575" s="15" t="str">
        <f aca="false">IF(OR(D575="",F575="",G575=""),"",IF(F575+MAX(0,10-G575)&lt;=1,D575,D575*(1+(F575+MAX(0,10-G575))/30)))</f>
        <v/>
      </c>
      <c r="J575" s="16" t="str">
        <f aca="false">IF(A575="","",IF(AND(C575="yes",N(G575)&gt;=7),N(E575),0))</f>
        <v/>
      </c>
      <c r="K575" s="17" t="str">
        <f aca="false">IF(A575="","",A575-WEEKDAY(A575,3))</f>
        <v/>
      </c>
      <c r="L575" s="11"/>
    </row>
    <row r="576" customFormat="false" ht="15" hidden="false" customHeight="false" outlineLevel="0" collapsed="false">
      <c r="A576" s="10"/>
      <c r="B576" s="11"/>
      <c r="C576" s="11"/>
      <c r="D576" s="11"/>
      <c r="E576" s="11"/>
      <c r="F576" s="11"/>
      <c r="G576" s="11"/>
      <c r="H576" s="15" t="str">
        <f aca="false">IF(OR(D576="",F576=""),"",IF(F576&lt;=1,D576,D576*(1+F576/30)))</f>
        <v/>
      </c>
      <c r="I576" s="15" t="str">
        <f aca="false">IF(OR(D576="",F576="",G576=""),"",IF(F576+MAX(0,10-G576)&lt;=1,D576,D576*(1+(F576+MAX(0,10-G576))/30)))</f>
        <v/>
      </c>
      <c r="J576" s="16" t="str">
        <f aca="false">IF(A576="","",IF(AND(C576="yes",N(G576)&gt;=7),N(E576),0))</f>
        <v/>
      </c>
      <c r="K576" s="17" t="str">
        <f aca="false">IF(A576="","",A576-WEEKDAY(A576,3))</f>
        <v/>
      </c>
      <c r="L576" s="11"/>
    </row>
    <row r="577" customFormat="false" ht="15" hidden="false" customHeight="false" outlineLevel="0" collapsed="false">
      <c r="A577" s="10"/>
      <c r="B577" s="11"/>
      <c r="C577" s="11"/>
      <c r="D577" s="11"/>
      <c r="E577" s="11"/>
      <c r="F577" s="11"/>
      <c r="G577" s="11"/>
      <c r="H577" s="15" t="str">
        <f aca="false">IF(OR(D577="",F577=""),"",IF(F577&lt;=1,D577,D577*(1+F577/30)))</f>
        <v/>
      </c>
      <c r="I577" s="15" t="str">
        <f aca="false">IF(OR(D577="",F577="",G577=""),"",IF(F577+MAX(0,10-G577)&lt;=1,D577,D577*(1+(F577+MAX(0,10-G577))/30)))</f>
        <v/>
      </c>
      <c r="J577" s="16" t="str">
        <f aca="false">IF(A577="","",IF(AND(C577="yes",N(G577)&gt;=7),N(E577),0))</f>
        <v/>
      </c>
      <c r="K577" s="17" t="str">
        <f aca="false">IF(A577="","",A577-WEEKDAY(A577,3))</f>
        <v/>
      </c>
      <c r="L577" s="11"/>
    </row>
    <row r="578" customFormat="false" ht="15" hidden="false" customHeight="false" outlineLevel="0" collapsed="false">
      <c r="A578" s="10"/>
      <c r="B578" s="11"/>
      <c r="C578" s="11"/>
      <c r="D578" s="11"/>
      <c r="E578" s="11"/>
      <c r="F578" s="11"/>
      <c r="G578" s="11"/>
      <c r="H578" s="15" t="str">
        <f aca="false">IF(OR(D578="",F578=""),"",IF(F578&lt;=1,D578,D578*(1+F578/30)))</f>
        <v/>
      </c>
      <c r="I578" s="15" t="str">
        <f aca="false">IF(OR(D578="",F578="",G578=""),"",IF(F578+MAX(0,10-G578)&lt;=1,D578,D578*(1+(F578+MAX(0,10-G578))/30)))</f>
        <v/>
      </c>
      <c r="J578" s="16" t="str">
        <f aca="false">IF(A578="","",IF(AND(C578="yes",N(G578)&gt;=7),N(E578),0))</f>
        <v/>
      </c>
      <c r="K578" s="17" t="str">
        <f aca="false">IF(A578="","",A578-WEEKDAY(A578,3))</f>
        <v/>
      </c>
      <c r="L578" s="11"/>
    </row>
    <row r="579" customFormat="false" ht="15" hidden="false" customHeight="false" outlineLevel="0" collapsed="false">
      <c r="A579" s="10"/>
      <c r="B579" s="11"/>
      <c r="C579" s="11"/>
      <c r="D579" s="11"/>
      <c r="E579" s="11"/>
      <c r="F579" s="11"/>
      <c r="G579" s="11"/>
      <c r="H579" s="15" t="str">
        <f aca="false">IF(OR(D579="",F579=""),"",IF(F579&lt;=1,D579,D579*(1+F579/30)))</f>
        <v/>
      </c>
      <c r="I579" s="15" t="str">
        <f aca="false">IF(OR(D579="",F579="",G579=""),"",IF(F579+MAX(0,10-G579)&lt;=1,D579,D579*(1+(F579+MAX(0,10-G579))/30)))</f>
        <v/>
      </c>
      <c r="J579" s="16" t="str">
        <f aca="false">IF(A579="","",IF(AND(C579="yes",N(G579)&gt;=7),N(E579),0))</f>
        <v/>
      </c>
      <c r="K579" s="17" t="str">
        <f aca="false">IF(A579="","",A579-WEEKDAY(A579,3))</f>
        <v/>
      </c>
      <c r="L579" s="11"/>
    </row>
    <row r="580" customFormat="false" ht="15" hidden="false" customHeight="false" outlineLevel="0" collapsed="false">
      <c r="A580" s="10"/>
      <c r="B580" s="11"/>
      <c r="C580" s="11"/>
      <c r="D580" s="11"/>
      <c r="E580" s="11"/>
      <c r="F580" s="11"/>
      <c r="G580" s="11"/>
      <c r="H580" s="15" t="str">
        <f aca="false">IF(OR(D580="",F580=""),"",IF(F580&lt;=1,D580,D580*(1+F580/30)))</f>
        <v/>
      </c>
      <c r="I580" s="15" t="str">
        <f aca="false">IF(OR(D580="",F580="",G580=""),"",IF(F580+MAX(0,10-G580)&lt;=1,D580,D580*(1+(F580+MAX(0,10-G580))/30)))</f>
        <v/>
      </c>
      <c r="J580" s="16" t="str">
        <f aca="false">IF(A580="","",IF(AND(C580="yes",N(G580)&gt;=7),N(E580),0))</f>
        <v/>
      </c>
      <c r="K580" s="17" t="str">
        <f aca="false">IF(A580="","",A580-WEEKDAY(A580,3))</f>
        <v/>
      </c>
      <c r="L580" s="11"/>
    </row>
    <row r="581" customFormat="false" ht="15" hidden="false" customHeight="false" outlineLevel="0" collapsed="false">
      <c r="A581" s="10"/>
      <c r="B581" s="11"/>
      <c r="C581" s="11"/>
      <c r="D581" s="11"/>
      <c r="E581" s="11"/>
      <c r="F581" s="11"/>
      <c r="G581" s="11"/>
      <c r="H581" s="15" t="str">
        <f aca="false">IF(OR(D581="",F581=""),"",IF(F581&lt;=1,D581,D581*(1+F581/30)))</f>
        <v/>
      </c>
      <c r="I581" s="15" t="str">
        <f aca="false">IF(OR(D581="",F581="",G581=""),"",IF(F581+MAX(0,10-G581)&lt;=1,D581,D581*(1+(F581+MAX(0,10-G581))/30)))</f>
        <v/>
      </c>
      <c r="J581" s="16" t="str">
        <f aca="false">IF(A581="","",IF(AND(C581="yes",N(G581)&gt;=7),N(E581),0))</f>
        <v/>
      </c>
      <c r="K581" s="17" t="str">
        <f aca="false">IF(A581="","",A581-WEEKDAY(A581,3))</f>
        <v/>
      </c>
      <c r="L581" s="11"/>
    </row>
    <row r="582" customFormat="false" ht="15" hidden="false" customHeight="false" outlineLevel="0" collapsed="false">
      <c r="A582" s="10"/>
      <c r="B582" s="11"/>
      <c r="C582" s="11"/>
      <c r="D582" s="11"/>
      <c r="E582" s="11"/>
      <c r="F582" s="11"/>
      <c r="G582" s="11"/>
      <c r="H582" s="15" t="str">
        <f aca="false">IF(OR(D582="",F582=""),"",IF(F582&lt;=1,D582,D582*(1+F582/30)))</f>
        <v/>
      </c>
      <c r="I582" s="15" t="str">
        <f aca="false">IF(OR(D582="",F582="",G582=""),"",IF(F582+MAX(0,10-G582)&lt;=1,D582,D582*(1+(F582+MAX(0,10-G582))/30)))</f>
        <v/>
      </c>
      <c r="J582" s="16" t="str">
        <f aca="false">IF(A582="","",IF(AND(C582="yes",N(G582)&gt;=7),N(E582),0))</f>
        <v/>
      </c>
      <c r="K582" s="17" t="str">
        <f aca="false">IF(A582="","",A582-WEEKDAY(A582,3))</f>
        <v/>
      </c>
      <c r="L582" s="11"/>
    </row>
    <row r="583" customFormat="false" ht="15" hidden="false" customHeight="false" outlineLevel="0" collapsed="false">
      <c r="A583" s="10"/>
      <c r="B583" s="11"/>
      <c r="C583" s="11"/>
      <c r="D583" s="11"/>
      <c r="E583" s="11"/>
      <c r="F583" s="11"/>
      <c r="G583" s="11"/>
      <c r="H583" s="15" t="str">
        <f aca="false">IF(OR(D583="",F583=""),"",IF(F583&lt;=1,D583,D583*(1+F583/30)))</f>
        <v/>
      </c>
      <c r="I583" s="15" t="str">
        <f aca="false">IF(OR(D583="",F583="",G583=""),"",IF(F583+MAX(0,10-G583)&lt;=1,D583,D583*(1+(F583+MAX(0,10-G583))/30)))</f>
        <v/>
      </c>
      <c r="J583" s="16" t="str">
        <f aca="false">IF(A583="","",IF(AND(C583="yes",N(G583)&gt;=7),N(E583),0))</f>
        <v/>
      </c>
      <c r="K583" s="17" t="str">
        <f aca="false">IF(A583="","",A583-WEEKDAY(A583,3))</f>
        <v/>
      </c>
      <c r="L583" s="11"/>
    </row>
    <row r="584" customFormat="false" ht="15" hidden="false" customHeight="false" outlineLevel="0" collapsed="false">
      <c r="A584" s="10"/>
      <c r="B584" s="11"/>
      <c r="C584" s="11"/>
      <c r="D584" s="11"/>
      <c r="E584" s="11"/>
      <c r="F584" s="11"/>
      <c r="G584" s="11"/>
      <c r="H584" s="15" t="str">
        <f aca="false">IF(OR(D584="",F584=""),"",IF(F584&lt;=1,D584,D584*(1+F584/30)))</f>
        <v/>
      </c>
      <c r="I584" s="15" t="str">
        <f aca="false">IF(OR(D584="",F584="",G584=""),"",IF(F584+MAX(0,10-G584)&lt;=1,D584,D584*(1+(F584+MAX(0,10-G584))/30)))</f>
        <v/>
      </c>
      <c r="J584" s="16" t="str">
        <f aca="false">IF(A584="","",IF(AND(C584="yes",N(G584)&gt;=7),N(E584),0))</f>
        <v/>
      </c>
      <c r="K584" s="17" t="str">
        <f aca="false">IF(A584="","",A584-WEEKDAY(A584,3))</f>
        <v/>
      </c>
      <c r="L584" s="11"/>
    </row>
    <row r="585" customFormat="false" ht="15" hidden="false" customHeight="false" outlineLevel="0" collapsed="false">
      <c r="A585" s="10"/>
      <c r="B585" s="11"/>
      <c r="C585" s="11"/>
      <c r="D585" s="11"/>
      <c r="E585" s="11"/>
      <c r="F585" s="11"/>
      <c r="G585" s="11"/>
      <c r="H585" s="15" t="str">
        <f aca="false">IF(OR(D585="",F585=""),"",IF(F585&lt;=1,D585,D585*(1+F585/30)))</f>
        <v/>
      </c>
      <c r="I585" s="15" t="str">
        <f aca="false">IF(OR(D585="",F585="",G585=""),"",IF(F585+MAX(0,10-G585)&lt;=1,D585,D585*(1+(F585+MAX(0,10-G585))/30)))</f>
        <v/>
      </c>
      <c r="J585" s="16" t="str">
        <f aca="false">IF(A585="","",IF(AND(C585="yes",N(G585)&gt;=7),N(E585),0))</f>
        <v/>
      </c>
      <c r="K585" s="17" t="str">
        <f aca="false">IF(A585="","",A585-WEEKDAY(A585,3))</f>
        <v/>
      </c>
      <c r="L585" s="11"/>
    </row>
    <row r="586" customFormat="false" ht="15" hidden="false" customHeight="false" outlineLevel="0" collapsed="false">
      <c r="A586" s="10"/>
      <c r="B586" s="11"/>
      <c r="C586" s="11"/>
      <c r="D586" s="11"/>
      <c r="E586" s="11"/>
      <c r="F586" s="11"/>
      <c r="G586" s="11"/>
      <c r="H586" s="15" t="str">
        <f aca="false">IF(OR(D586="",F586=""),"",IF(F586&lt;=1,D586,D586*(1+F586/30)))</f>
        <v/>
      </c>
      <c r="I586" s="15" t="str">
        <f aca="false">IF(OR(D586="",F586="",G586=""),"",IF(F586+MAX(0,10-G586)&lt;=1,D586,D586*(1+(F586+MAX(0,10-G586))/30)))</f>
        <v/>
      </c>
      <c r="J586" s="16" t="str">
        <f aca="false">IF(A586="","",IF(AND(C586="yes",N(G586)&gt;=7),N(E586),0))</f>
        <v/>
      </c>
      <c r="K586" s="17" t="str">
        <f aca="false">IF(A586="","",A586-WEEKDAY(A586,3))</f>
        <v/>
      </c>
      <c r="L586" s="11"/>
    </row>
    <row r="587" customFormat="false" ht="15" hidden="false" customHeight="false" outlineLevel="0" collapsed="false">
      <c r="A587" s="10"/>
      <c r="B587" s="11"/>
      <c r="C587" s="11"/>
      <c r="D587" s="11"/>
      <c r="E587" s="11"/>
      <c r="F587" s="11"/>
      <c r="G587" s="11"/>
      <c r="H587" s="15" t="str">
        <f aca="false">IF(OR(D587="",F587=""),"",IF(F587&lt;=1,D587,D587*(1+F587/30)))</f>
        <v/>
      </c>
      <c r="I587" s="15" t="str">
        <f aca="false">IF(OR(D587="",F587="",G587=""),"",IF(F587+MAX(0,10-G587)&lt;=1,D587,D587*(1+(F587+MAX(0,10-G587))/30)))</f>
        <v/>
      </c>
      <c r="J587" s="16" t="str">
        <f aca="false">IF(A587="","",IF(AND(C587="yes",N(G587)&gt;=7),N(E587),0))</f>
        <v/>
      </c>
      <c r="K587" s="17" t="str">
        <f aca="false">IF(A587="","",A587-WEEKDAY(A587,3))</f>
        <v/>
      </c>
      <c r="L587" s="11"/>
    </row>
    <row r="588" customFormat="false" ht="15" hidden="false" customHeight="false" outlineLevel="0" collapsed="false">
      <c r="A588" s="10"/>
      <c r="B588" s="11"/>
      <c r="C588" s="11"/>
      <c r="D588" s="11"/>
      <c r="E588" s="11"/>
      <c r="F588" s="11"/>
      <c r="G588" s="11"/>
      <c r="H588" s="15" t="str">
        <f aca="false">IF(OR(D588="",F588=""),"",IF(F588&lt;=1,D588,D588*(1+F588/30)))</f>
        <v/>
      </c>
      <c r="I588" s="15" t="str">
        <f aca="false">IF(OR(D588="",F588="",G588=""),"",IF(F588+MAX(0,10-G588)&lt;=1,D588,D588*(1+(F588+MAX(0,10-G588))/30)))</f>
        <v/>
      </c>
      <c r="J588" s="16" t="str">
        <f aca="false">IF(A588="","",IF(AND(C588="yes",N(G588)&gt;=7),N(E588),0))</f>
        <v/>
      </c>
      <c r="K588" s="17" t="str">
        <f aca="false">IF(A588="","",A588-WEEKDAY(A588,3))</f>
        <v/>
      </c>
      <c r="L588" s="11"/>
    </row>
    <row r="589" customFormat="false" ht="15" hidden="false" customHeight="false" outlineLevel="0" collapsed="false">
      <c r="A589" s="10"/>
      <c r="B589" s="11"/>
      <c r="C589" s="11"/>
      <c r="D589" s="11"/>
      <c r="E589" s="11"/>
      <c r="F589" s="11"/>
      <c r="G589" s="11"/>
      <c r="H589" s="15" t="str">
        <f aca="false">IF(OR(D589="",F589=""),"",IF(F589&lt;=1,D589,D589*(1+F589/30)))</f>
        <v/>
      </c>
      <c r="I589" s="15" t="str">
        <f aca="false">IF(OR(D589="",F589="",G589=""),"",IF(F589+MAX(0,10-G589)&lt;=1,D589,D589*(1+(F589+MAX(0,10-G589))/30)))</f>
        <v/>
      </c>
      <c r="J589" s="16" t="str">
        <f aca="false">IF(A589="","",IF(AND(C589="yes",N(G589)&gt;=7),N(E589),0))</f>
        <v/>
      </c>
      <c r="K589" s="17" t="str">
        <f aca="false">IF(A589="","",A589-WEEKDAY(A589,3))</f>
        <v/>
      </c>
      <c r="L589" s="11"/>
    </row>
    <row r="590" customFormat="false" ht="15" hidden="false" customHeight="false" outlineLevel="0" collapsed="false">
      <c r="A590" s="10"/>
      <c r="B590" s="11"/>
      <c r="C590" s="11"/>
      <c r="D590" s="11"/>
      <c r="E590" s="11"/>
      <c r="F590" s="11"/>
      <c r="G590" s="11"/>
      <c r="H590" s="15" t="str">
        <f aca="false">IF(OR(D590="",F590=""),"",IF(F590&lt;=1,D590,D590*(1+F590/30)))</f>
        <v/>
      </c>
      <c r="I590" s="15" t="str">
        <f aca="false">IF(OR(D590="",F590="",G590=""),"",IF(F590+MAX(0,10-G590)&lt;=1,D590,D590*(1+(F590+MAX(0,10-G590))/30)))</f>
        <v/>
      </c>
      <c r="J590" s="16" t="str">
        <f aca="false">IF(A590="","",IF(AND(C590="yes",N(G590)&gt;=7),N(E590),0))</f>
        <v/>
      </c>
      <c r="K590" s="17" t="str">
        <f aca="false">IF(A590="","",A590-WEEKDAY(A590,3))</f>
        <v/>
      </c>
      <c r="L590" s="11"/>
    </row>
    <row r="591" customFormat="false" ht="15" hidden="false" customHeight="false" outlineLevel="0" collapsed="false">
      <c r="A591" s="10"/>
      <c r="B591" s="11"/>
      <c r="C591" s="11"/>
      <c r="D591" s="11"/>
      <c r="E591" s="11"/>
      <c r="F591" s="11"/>
      <c r="G591" s="11"/>
      <c r="H591" s="15" t="str">
        <f aca="false">IF(OR(D591="",F591=""),"",IF(F591&lt;=1,D591,D591*(1+F591/30)))</f>
        <v/>
      </c>
      <c r="I591" s="15" t="str">
        <f aca="false">IF(OR(D591="",F591="",G591=""),"",IF(F591+MAX(0,10-G591)&lt;=1,D591,D591*(1+(F591+MAX(0,10-G591))/30)))</f>
        <v/>
      </c>
      <c r="J591" s="16" t="str">
        <f aca="false">IF(A591="","",IF(AND(C591="yes",N(G591)&gt;=7),N(E591),0))</f>
        <v/>
      </c>
      <c r="K591" s="17" t="str">
        <f aca="false">IF(A591="","",A591-WEEKDAY(A591,3))</f>
        <v/>
      </c>
      <c r="L591" s="11"/>
    </row>
    <row r="592" customFormat="false" ht="15" hidden="false" customHeight="false" outlineLevel="0" collapsed="false">
      <c r="A592" s="10"/>
      <c r="B592" s="11"/>
      <c r="C592" s="11"/>
      <c r="D592" s="11"/>
      <c r="E592" s="11"/>
      <c r="F592" s="11"/>
      <c r="G592" s="11"/>
      <c r="H592" s="15" t="str">
        <f aca="false">IF(OR(D592="",F592=""),"",IF(F592&lt;=1,D592,D592*(1+F592/30)))</f>
        <v/>
      </c>
      <c r="I592" s="15" t="str">
        <f aca="false">IF(OR(D592="",F592="",G592=""),"",IF(F592+MAX(0,10-G592)&lt;=1,D592,D592*(1+(F592+MAX(0,10-G592))/30)))</f>
        <v/>
      </c>
      <c r="J592" s="16" t="str">
        <f aca="false">IF(A592="","",IF(AND(C592="yes",N(G592)&gt;=7),N(E592),0))</f>
        <v/>
      </c>
      <c r="K592" s="17" t="str">
        <f aca="false">IF(A592="","",A592-WEEKDAY(A592,3))</f>
        <v/>
      </c>
      <c r="L592" s="11"/>
    </row>
    <row r="593" customFormat="false" ht="15" hidden="false" customHeight="false" outlineLevel="0" collapsed="false">
      <c r="A593" s="10"/>
      <c r="B593" s="11"/>
      <c r="C593" s="11"/>
      <c r="D593" s="11"/>
      <c r="E593" s="11"/>
      <c r="F593" s="11"/>
      <c r="G593" s="11"/>
      <c r="H593" s="15" t="str">
        <f aca="false">IF(OR(D593="",F593=""),"",IF(F593&lt;=1,D593,D593*(1+F593/30)))</f>
        <v/>
      </c>
      <c r="I593" s="15" t="str">
        <f aca="false">IF(OR(D593="",F593="",G593=""),"",IF(F593+MAX(0,10-G593)&lt;=1,D593,D593*(1+(F593+MAX(0,10-G593))/30)))</f>
        <v/>
      </c>
      <c r="J593" s="16" t="str">
        <f aca="false">IF(A593="","",IF(AND(C593="yes",N(G593)&gt;=7),N(E593),0))</f>
        <v/>
      </c>
      <c r="K593" s="17" t="str">
        <f aca="false">IF(A593="","",A593-WEEKDAY(A593,3))</f>
        <v/>
      </c>
      <c r="L593" s="11"/>
    </row>
    <row r="594" customFormat="false" ht="15" hidden="false" customHeight="false" outlineLevel="0" collapsed="false">
      <c r="A594" s="10"/>
      <c r="B594" s="11"/>
      <c r="C594" s="11"/>
      <c r="D594" s="11"/>
      <c r="E594" s="11"/>
      <c r="F594" s="11"/>
      <c r="G594" s="11"/>
      <c r="H594" s="15" t="str">
        <f aca="false">IF(OR(D594="",F594=""),"",IF(F594&lt;=1,D594,D594*(1+F594/30)))</f>
        <v/>
      </c>
      <c r="I594" s="15" t="str">
        <f aca="false">IF(OR(D594="",F594="",G594=""),"",IF(F594+MAX(0,10-G594)&lt;=1,D594,D594*(1+(F594+MAX(0,10-G594))/30)))</f>
        <v/>
      </c>
      <c r="J594" s="16" t="str">
        <f aca="false">IF(A594="","",IF(AND(C594="yes",N(G594)&gt;=7),N(E594),0))</f>
        <v/>
      </c>
      <c r="K594" s="17" t="str">
        <f aca="false">IF(A594="","",A594-WEEKDAY(A594,3))</f>
        <v/>
      </c>
      <c r="L594" s="11"/>
    </row>
    <row r="595" customFormat="false" ht="15" hidden="false" customHeight="false" outlineLevel="0" collapsed="false">
      <c r="A595" s="10"/>
      <c r="B595" s="11"/>
      <c r="C595" s="11"/>
      <c r="D595" s="11"/>
      <c r="E595" s="11"/>
      <c r="F595" s="11"/>
      <c r="G595" s="11"/>
      <c r="H595" s="15" t="str">
        <f aca="false">IF(OR(D595="",F595=""),"",IF(F595&lt;=1,D595,D595*(1+F595/30)))</f>
        <v/>
      </c>
      <c r="I595" s="15" t="str">
        <f aca="false">IF(OR(D595="",F595="",G595=""),"",IF(F595+MAX(0,10-G595)&lt;=1,D595,D595*(1+(F595+MAX(0,10-G595))/30)))</f>
        <v/>
      </c>
      <c r="J595" s="16" t="str">
        <f aca="false">IF(A595="","",IF(AND(C595="yes",N(G595)&gt;=7),N(E595),0))</f>
        <v/>
      </c>
      <c r="K595" s="17" t="str">
        <f aca="false">IF(A595="","",A595-WEEKDAY(A595,3))</f>
        <v/>
      </c>
      <c r="L595" s="11"/>
    </row>
    <row r="596" customFormat="false" ht="15" hidden="false" customHeight="false" outlineLevel="0" collapsed="false">
      <c r="A596" s="10"/>
      <c r="B596" s="11"/>
      <c r="C596" s="11"/>
      <c r="D596" s="11"/>
      <c r="E596" s="11"/>
      <c r="F596" s="11"/>
      <c r="G596" s="11"/>
      <c r="H596" s="15" t="str">
        <f aca="false">IF(OR(D596="",F596=""),"",IF(F596&lt;=1,D596,D596*(1+F596/30)))</f>
        <v/>
      </c>
      <c r="I596" s="15" t="str">
        <f aca="false">IF(OR(D596="",F596="",G596=""),"",IF(F596+MAX(0,10-G596)&lt;=1,D596,D596*(1+(F596+MAX(0,10-G596))/30)))</f>
        <v/>
      </c>
      <c r="J596" s="16" t="str">
        <f aca="false">IF(A596="","",IF(AND(C596="yes",N(G596)&gt;=7),N(E596),0))</f>
        <v/>
      </c>
      <c r="K596" s="17" t="str">
        <f aca="false">IF(A596="","",A596-WEEKDAY(A596,3))</f>
        <v/>
      </c>
      <c r="L596" s="11"/>
    </row>
    <row r="597" customFormat="false" ht="15" hidden="false" customHeight="false" outlineLevel="0" collapsed="false">
      <c r="A597" s="10"/>
      <c r="B597" s="11"/>
      <c r="C597" s="11"/>
      <c r="D597" s="11"/>
      <c r="E597" s="11"/>
      <c r="F597" s="11"/>
      <c r="G597" s="11"/>
      <c r="H597" s="15" t="str">
        <f aca="false">IF(OR(D597="",F597=""),"",IF(F597&lt;=1,D597,D597*(1+F597/30)))</f>
        <v/>
      </c>
      <c r="I597" s="15" t="str">
        <f aca="false">IF(OR(D597="",F597="",G597=""),"",IF(F597+MAX(0,10-G597)&lt;=1,D597,D597*(1+(F597+MAX(0,10-G597))/30)))</f>
        <v/>
      </c>
      <c r="J597" s="16" t="str">
        <f aca="false">IF(A597="","",IF(AND(C597="yes",N(G597)&gt;=7),N(E597),0))</f>
        <v/>
      </c>
      <c r="K597" s="17" t="str">
        <f aca="false">IF(A597="","",A597-WEEKDAY(A597,3))</f>
        <v/>
      </c>
      <c r="L597" s="11"/>
    </row>
    <row r="598" customFormat="false" ht="15" hidden="false" customHeight="false" outlineLevel="0" collapsed="false">
      <c r="A598" s="10"/>
      <c r="B598" s="11"/>
      <c r="C598" s="11"/>
      <c r="D598" s="11"/>
      <c r="E598" s="11"/>
      <c r="F598" s="11"/>
      <c r="G598" s="11"/>
      <c r="H598" s="15" t="str">
        <f aca="false">IF(OR(D598="",F598=""),"",IF(F598&lt;=1,D598,D598*(1+F598/30)))</f>
        <v/>
      </c>
      <c r="I598" s="15" t="str">
        <f aca="false">IF(OR(D598="",F598="",G598=""),"",IF(F598+MAX(0,10-G598)&lt;=1,D598,D598*(1+(F598+MAX(0,10-G598))/30)))</f>
        <v/>
      </c>
      <c r="J598" s="16" t="str">
        <f aca="false">IF(A598="","",IF(AND(C598="yes",N(G598)&gt;=7),N(E598),0))</f>
        <v/>
      </c>
      <c r="K598" s="17" t="str">
        <f aca="false">IF(A598="","",A598-WEEKDAY(A598,3))</f>
        <v/>
      </c>
      <c r="L598" s="11"/>
    </row>
    <row r="599" customFormat="false" ht="15" hidden="false" customHeight="false" outlineLevel="0" collapsed="false">
      <c r="A599" s="10"/>
      <c r="B599" s="11"/>
      <c r="C599" s="11"/>
      <c r="D599" s="11"/>
      <c r="E599" s="11"/>
      <c r="F599" s="11"/>
      <c r="G599" s="11"/>
      <c r="H599" s="15" t="str">
        <f aca="false">IF(OR(D599="",F599=""),"",IF(F599&lt;=1,D599,D599*(1+F599/30)))</f>
        <v/>
      </c>
      <c r="I599" s="15" t="str">
        <f aca="false">IF(OR(D599="",F599="",G599=""),"",IF(F599+MAX(0,10-G599)&lt;=1,D599,D599*(1+(F599+MAX(0,10-G599))/30)))</f>
        <v/>
      </c>
      <c r="J599" s="16" t="str">
        <f aca="false">IF(A599="","",IF(AND(C599="yes",N(G599)&gt;=7),N(E599),0))</f>
        <v/>
      </c>
      <c r="K599" s="17" t="str">
        <f aca="false">IF(A599="","",A599-WEEKDAY(A599,3))</f>
        <v/>
      </c>
      <c r="L599" s="11"/>
    </row>
    <row r="600" customFormat="false" ht="15" hidden="false" customHeight="false" outlineLevel="0" collapsed="false">
      <c r="A600" s="10"/>
      <c r="B600" s="11"/>
      <c r="C600" s="11"/>
      <c r="D600" s="11"/>
      <c r="E600" s="11"/>
      <c r="F600" s="11"/>
      <c r="G600" s="11"/>
      <c r="H600" s="15" t="str">
        <f aca="false">IF(OR(D600="",F600=""),"",IF(F600&lt;=1,D600,D600*(1+F600/30)))</f>
        <v/>
      </c>
      <c r="I600" s="15" t="str">
        <f aca="false">IF(OR(D600="",F600="",G600=""),"",IF(F600+MAX(0,10-G600)&lt;=1,D600,D600*(1+(F600+MAX(0,10-G600))/30)))</f>
        <v/>
      </c>
      <c r="J600" s="16" t="str">
        <f aca="false">IF(A600="","",IF(AND(C600="yes",N(G600)&gt;=7),N(E600),0))</f>
        <v/>
      </c>
      <c r="K600" s="17" t="str">
        <f aca="false">IF(A600="","",A600-WEEKDAY(A600,3))</f>
        <v/>
      </c>
      <c r="L600" s="11"/>
    </row>
    <row r="601" customFormat="false" ht="15" hidden="false" customHeight="false" outlineLevel="0" collapsed="false">
      <c r="A601" s="10"/>
      <c r="B601" s="11"/>
      <c r="C601" s="11"/>
      <c r="D601" s="11"/>
      <c r="E601" s="11"/>
      <c r="F601" s="11"/>
      <c r="G601" s="11"/>
      <c r="H601" s="15" t="str">
        <f aca="false">IF(OR(D601="",F601=""),"",IF(F601&lt;=1,D601,D601*(1+F601/30)))</f>
        <v/>
      </c>
      <c r="I601" s="15" t="str">
        <f aca="false">IF(OR(D601="",F601="",G601=""),"",IF(F601+MAX(0,10-G601)&lt;=1,D601,D601*(1+(F601+MAX(0,10-G601))/30)))</f>
        <v/>
      </c>
      <c r="J601" s="16" t="str">
        <f aca="false">IF(A601="","",IF(AND(C601="yes",N(G601)&gt;=7),N(E601),0))</f>
        <v/>
      </c>
      <c r="K601" s="17" t="str">
        <f aca="false">IF(A601="","",A601-WEEKDAY(A601,3))</f>
        <v/>
      </c>
      <c r="L601" s="11"/>
    </row>
    <row r="602" customFormat="false" ht="15" hidden="false" customHeight="false" outlineLevel="0" collapsed="false">
      <c r="A602" s="10"/>
      <c r="B602" s="11"/>
      <c r="C602" s="11"/>
      <c r="D602" s="11"/>
      <c r="E602" s="11"/>
      <c r="F602" s="11"/>
      <c r="G602" s="11"/>
      <c r="H602" s="15" t="str">
        <f aca="false">IF(OR(D602="",F602=""),"",IF(F602&lt;=1,D602,D602*(1+F602/30)))</f>
        <v/>
      </c>
      <c r="I602" s="15" t="str">
        <f aca="false">IF(OR(D602="",F602="",G602=""),"",IF(F602+MAX(0,10-G602)&lt;=1,D602,D602*(1+(F602+MAX(0,10-G602))/30)))</f>
        <v/>
      </c>
      <c r="J602" s="16" t="str">
        <f aca="false">IF(A602="","",IF(AND(C602="yes",N(G602)&gt;=7),N(E602),0))</f>
        <v/>
      </c>
      <c r="K602" s="17" t="str">
        <f aca="false">IF(A602="","",A602-WEEKDAY(A602,3))</f>
        <v/>
      </c>
      <c r="L602" s="11"/>
    </row>
    <row r="603" customFormat="false" ht="15" hidden="false" customHeight="false" outlineLevel="0" collapsed="false">
      <c r="A603" s="10"/>
      <c r="B603" s="11"/>
      <c r="C603" s="11"/>
      <c r="D603" s="11"/>
      <c r="E603" s="11"/>
      <c r="F603" s="11"/>
      <c r="G603" s="11"/>
      <c r="H603" s="15" t="str">
        <f aca="false">IF(OR(D603="",F603=""),"",IF(F603&lt;=1,D603,D603*(1+F603/30)))</f>
        <v/>
      </c>
      <c r="I603" s="15" t="str">
        <f aca="false">IF(OR(D603="",F603="",G603=""),"",IF(F603+MAX(0,10-G603)&lt;=1,D603,D603*(1+(F603+MAX(0,10-G603))/30)))</f>
        <v/>
      </c>
      <c r="J603" s="16" t="str">
        <f aca="false">IF(A603="","",IF(AND(C603="yes",N(G603)&gt;=7),N(E603),0))</f>
        <v/>
      </c>
      <c r="K603" s="17" t="str">
        <f aca="false">IF(A603="","",A603-WEEKDAY(A603,3))</f>
        <v/>
      </c>
      <c r="L603" s="11"/>
    </row>
    <row r="604" customFormat="false" ht="15" hidden="false" customHeight="false" outlineLevel="0" collapsed="false">
      <c r="A604" s="10"/>
      <c r="B604" s="11"/>
      <c r="C604" s="11"/>
      <c r="D604" s="11"/>
      <c r="E604" s="11"/>
      <c r="F604" s="11"/>
      <c r="G604" s="11"/>
      <c r="H604" s="15" t="str">
        <f aca="false">IF(OR(D604="",F604=""),"",IF(F604&lt;=1,D604,D604*(1+F604/30)))</f>
        <v/>
      </c>
      <c r="I604" s="15" t="str">
        <f aca="false">IF(OR(D604="",F604="",G604=""),"",IF(F604+MAX(0,10-G604)&lt;=1,D604,D604*(1+(F604+MAX(0,10-G604))/30)))</f>
        <v/>
      </c>
      <c r="J604" s="16" t="str">
        <f aca="false">IF(A604="","",IF(AND(C604="yes",N(G604)&gt;=7),N(E604),0))</f>
        <v/>
      </c>
      <c r="K604" s="17" t="str">
        <f aca="false">IF(A604="","",A604-WEEKDAY(A604,3))</f>
        <v/>
      </c>
      <c r="L604" s="11"/>
    </row>
    <row r="605" customFormat="false" ht="15" hidden="false" customHeight="false" outlineLevel="0" collapsed="false">
      <c r="A605" s="10"/>
      <c r="B605" s="11"/>
      <c r="C605" s="11"/>
      <c r="D605" s="11"/>
      <c r="E605" s="11"/>
      <c r="F605" s="11"/>
      <c r="G605" s="11"/>
      <c r="H605" s="15" t="str">
        <f aca="false">IF(OR(D605="",F605=""),"",IF(F605&lt;=1,D605,D605*(1+F605/30)))</f>
        <v/>
      </c>
      <c r="I605" s="15" t="str">
        <f aca="false">IF(OR(D605="",F605="",G605=""),"",IF(F605+MAX(0,10-G605)&lt;=1,D605,D605*(1+(F605+MAX(0,10-G605))/30)))</f>
        <v/>
      </c>
      <c r="J605" s="16" t="str">
        <f aca="false">IF(A605="","",IF(AND(C605="yes",N(G605)&gt;=7),N(E605),0))</f>
        <v/>
      </c>
      <c r="K605" s="17" t="str">
        <f aca="false">IF(A605="","",A605-WEEKDAY(A605,3))</f>
        <v/>
      </c>
      <c r="L605" s="11"/>
    </row>
    <row r="606" customFormat="false" ht="15" hidden="false" customHeight="false" outlineLevel="0" collapsed="false">
      <c r="A606" s="10"/>
      <c r="B606" s="11"/>
      <c r="C606" s="11"/>
      <c r="D606" s="11"/>
      <c r="E606" s="11"/>
      <c r="F606" s="11"/>
      <c r="G606" s="11"/>
      <c r="H606" s="15" t="str">
        <f aca="false">IF(OR(D606="",F606=""),"",IF(F606&lt;=1,D606,D606*(1+F606/30)))</f>
        <v/>
      </c>
      <c r="I606" s="15" t="str">
        <f aca="false">IF(OR(D606="",F606="",G606=""),"",IF(F606+MAX(0,10-G606)&lt;=1,D606,D606*(1+(F606+MAX(0,10-G606))/30)))</f>
        <v/>
      </c>
      <c r="J606" s="16" t="str">
        <f aca="false">IF(A606="","",IF(AND(C606="yes",N(G606)&gt;=7),N(E606),0))</f>
        <v/>
      </c>
      <c r="K606" s="17" t="str">
        <f aca="false">IF(A606="","",A606-WEEKDAY(A606,3))</f>
        <v/>
      </c>
      <c r="L606" s="11"/>
    </row>
    <row r="607" customFormat="false" ht="15" hidden="false" customHeight="false" outlineLevel="0" collapsed="false">
      <c r="A607" s="10"/>
      <c r="B607" s="11"/>
      <c r="C607" s="11"/>
      <c r="D607" s="11"/>
      <c r="E607" s="11"/>
      <c r="F607" s="11"/>
      <c r="G607" s="11"/>
      <c r="H607" s="15" t="str">
        <f aca="false">IF(OR(D607="",F607=""),"",IF(F607&lt;=1,D607,D607*(1+F607/30)))</f>
        <v/>
      </c>
      <c r="I607" s="15" t="str">
        <f aca="false">IF(OR(D607="",F607="",G607=""),"",IF(F607+MAX(0,10-G607)&lt;=1,D607,D607*(1+(F607+MAX(0,10-G607))/30)))</f>
        <v/>
      </c>
      <c r="J607" s="16" t="str">
        <f aca="false">IF(A607="","",IF(AND(C607="yes",N(G607)&gt;=7),N(E607),0))</f>
        <v/>
      </c>
      <c r="K607" s="17" t="str">
        <f aca="false">IF(A607="","",A607-WEEKDAY(A607,3))</f>
        <v/>
      </c>
      <c r="L607" s="11"/>
    </row>
    <row r="608" customFormat="false" ht="15" hidden="false" customHeight="false" outlineLevel="0" collapsed="false">
      <c r="A608" s="10"/>
      <c r="B608" s="11"/>
      <c r="C608" s="11"/>
      <c r="D608" s="11"/>
      <c r="E608" s="11"/>
      <c r="F608" s="11"/>
      <c r="G608" s="11"/>
      <c r="H608" s="15" t="str">
        <f aca="false">IF(OR(D608="",F608=""),"",IF(F608&lt;=1,D608,D608*(1+F608/30)))</f>
        <v/>
      </c>
      <c r="I608" s="15" t="str">
        <f aca="false">IF(OR(D608="",F608="",G608=""),"",IF(F608+MAX(0,10-G608)&lt;=1,D608,D608*(1+(F608+MAX(0,10-G608))/30)))</f>
        <v/>
      </c>
      <c r="J608" s="16" t="str">
        <f aca="false">IF(A608="","",IF(AND(C608="yes",N(G608)&gt;=7),N(E608),0))</f>
        <v/>
      </c>
      <c r="K608" s="17" t="str">
        <f aca="false">IF(A608="","",A608-WEEKDAY(A608,3))</f>
        <v/>
      </c>
      <c r="L608" s="11"/>
    </row>
    <row r="609" customFormat="false" ht="15" hidden="false" customHeight="false" outlineLevel="0" collapsed="false">
      <c r="A609" s="10"/>
      <c r="B609" s="11"/>
      <c r="C609" s="11"/>
      <c r="D609" s="11"/>
      <c r="E609" s="11"/>
      <c r="F609" s="11"/>
      <c r="G609" s="11"/>
      <c r="H609" s="15" t="str">
        <f aca="false">IF(OR(D609="",F609=""),"",IF(F609&lt;=1,D609,D609*(1+F609/30)))</f>
        <v/>
      </c>
      <c r="I609" s="15" t="str">
        <f aca="false">IF(OR(D609="",F609="",G609=""),"",IF(F609+MAX(0,10-G609)&lt;=1,D609,D609*(1+(F609+MAX(0,10-G609))/30)))</f>
        <v/>
      </c>
      <c r="J609" s="16" t="str">
        <f aca="false">IF(A609="","",IF(AND(C609="yes",N(G609)&gt;=7),N(E609),0))</f>
        <v/>
      </c>
      <c r="K609" s="17" t="str">
        <f aca="false">IF(A609="","",A609-WEEKDAY(A609,3))</f>
        <v/>
      </c>
      <c r="L609" s="11"/>
    </row>
    <row r="610" customFormat="false" ht="15" hidden="false" customHeight="false" outlineLevel="0" collapsed="false">
      <c r="A610" s="10"/>
      <c r="B610" s="11"/>
      <c r="C610" s="11"/>
      <c r="D610" s="11"/>
      <c r="E610" s="11"/>
      <c r="F610" s="11"/>
      <c r="G610" s="11"/>
      <c r="H610" s="15" t="str">
        <f aca="false">IF(OR(D610="",F610=""),"",IF(F610&lt;=1,D610,D610*(1+F610/30)))</f>
        <v/>
      </c>
      <c r="I610" s="15" t="str">
        <f aca="false">IF(OR(D610="",F610="",G610=""),"",IF(F610+MAX(0,10-G610)&lt;=1,D610,D610*(1+(F610+MAX(0,10-G610))/30)))</f>
        <v/>
      </c>
      <c r="J610" s="16" t="str">
        <f aca="false">IF(A610="","",IF(AND(C610="yes",N(G610)&gt;=7),N(E610),0))</f>
        <v/>
      </c>
      <c r="K610" s="17" t="str">
        <f aca="false">IF(A610="","",A610-WEEKDAY(A610,3))</f>
        <v/>
      </c>
      <c r="L610" s="11"/>
    </row>
    <row r="611" customFormat="false" ht="15" hidden="false" customHeight="false" outlineLevel="0" collapsed="false">
      <c r="A611" s="10"/>
      <c r="B611" s="11"/>
      <c r="C611" s="11"/>
      <c r="D611" s="11"/>
      <c r="E611" s="11"/>
      <c r="F611" s="11"/>
      <c r="G611" s="11"/>
      <c r="H611" s="15" t="str">
        <f aca="false">IF(OR(D611="",F611=""),"",IF(F611&lt;=1,D611,D611*(1+F611/30)))</f>
        <v/>
      </c>
      <c r="I611" s="15" t="str">
        <f aca="false">IF(OR(D611="",F611="",G611=""),"",IF(F611+MAX(0,10-G611)&lt;=1,D611,D611*(1+(F611+MAX(0,10-G611))/30)))</f>
        <v/>
      </c>
      <c r="J611" s="16" t="str">
        <f aca="false">IF(A611="","",IF(AND(C611="yes",N(G611)&gt;=7),N(E611),0))</f>
        <v/>
      </c>
      <c r="K611" s="17" t="str">
        <f aca="false">IF(A611="","",A611-WEEKDAY(A611,3))</f>
        <v/>
      </c>
      <c r="L611" s="11"/>
    </row>
    <row r="612" customFormat="false" ht="15" hidden="false" customHeight="false" outlineLevel="0" collapsed="false">
      <c r="A612" s="10"/>
      <c r="B612" s="11"/>
      <c r="C612" s="11"/>
      <c r="D612" s="11"/>
      <c r="E612" s="11"/>
      <c r="F612" s="11"/>
      <c r="G612" s="11"/>
      <c r="H612" s="15" t="str">
        <f aca="false">IF(OR(D612="",F612=""),"",IF(F612&lt;=1,D612,D612*(1+F612/30)))</f>
        <v/>
      </c>
      <c r="I612" s="15" t="str">
        <f aca="false">IF(OR(D612="",F612="",G612=""),"",IF(F612+MAX(0,10-G612)&lt;=1,D612,D612*(1+(F612+MAX(0,10-G612))/30)))</f>
        <v/>
      </c>
      <c r="J612" s="16" t="str">
        <f aca="false">IF(A612="","",IF(AND(C612="yes",N(G612)&gt;=7),N(E612),0))</f>
        <v/>
      </c>
      <c r="K612" s="17" t="str">
        <f aca="false">IF(A612="","",A612-WEEKDAY(A612,3))</f>
        <v/>
      </c>
      <c r="L612" s="11"/>
    </row>
    <row r="613" customFormat="false" ht="15" hidden="false" customHeight="false" outlineLevel="0" collapsed="false">
      <c r="A613" s="10"/>
      <c r="B613" s="11"/>
      <c r="C613" s="11"/>
      <c r="D613" s="11"/>
      <c r="E613" s="11"/>
      <c r="F613" s="11"/>
      <c r="G613" s="11"/>
      <c r="H613" s="15" t="str">
        <f aca="false">IF(OR(D613="",F613=""),"",IF(F613&lt;=1,D613,D613*(1+F613/30)))</f>
        <v/>
      </c>
      <c r="I613" s="15" t="str">
        <f aca="false">IF(OR(D613="",F613="",G613=""),"",IF(F613+MAX(0,10-G613)&lt;=1,D613,D613*(1+(F613+MAX(0,10-G613))/30)))</f>
        <v/>
      </c>
      <c r="J613" s="16" t="str">
        <f aca="false">IF(A613="","",IF(AND(C613="yes",N(G613)&gt;=7),N(E613),0))</f>
        <v/>
      </c>
      <c r="K613" s="17" t="str">
        <f aca="false">IF(A613="","",A613-WEEKDAY(A613,3))</f>
        <v/>
      </c>
      <c r="L613" s="11"/>
    </row>
    <row r="614" customFormat="false" ht="15" hidden="false" customHeight="false" outlineLevel="0" collapsed="false">
      <c r="A614" s="10"/>
      <c r="B614" s="11"/>
      <c r="C614" s="11"/>
      <c r="D614" s="11"/>
      <c r="E614" s="11"/>
      <c r="F614" s="11"/>
      <c r="G614" s="11"/>
      <c r="H614" s="15" t="str">
        <f aca="false">IF(OR(D614="",F614=""),"",IF(F614&lt;=1,D614,D614*(1+F614/30)))</f>
        <v/>
      </c>
      <c r="I614" s="15" t="str">
        <f aca="false">IF(OR(D614="",F614="",G614=""),"",IF(F614+MAX(0,10-G614)&lt;=1,D614,D614*(1+(F614+MAX(0,10-G614))/30)))</f>
        <v/>
      </c>
      <c r="J614" s="16" t="str">
        <f aca="false">IF(A614="","",IF(AND(C614="yes",N(G614)&gt;=7),N(E614),0))</f>
        <v/>
      </c>
      <c r="K614" s="17" t="str">
        <f aca="false">IF(A614="","",A614-WEEKDAY(A614,3))</f>
        <v/>
      </c>
      <c r="L614" s="11"/>
    </row>
    <row r="615" customFormat="false" ht="15" hidden="false" customHeight="false" outlineLevel="0" collapsed="false">
      <c r="A615" s="10"/>
      <c r="B615" s="11"/>
      <c r="C615" s="11"/>
      <c r="D615" s="11"/>
      <c r="E615" s="11"/>
      <c r="F615" s="11"/>
      <c r="G615" s="11"/>
      <c r="H615" s="15" t="str">
        <f aca="false">IF(OR(D615="",F615=""),"",IF(F615&lt;=1,D615,D615*(1+F615/30)))</f>
        <v/>
      </c>
      <c r="I615" s="15" t="str">
        <f aca="false">IF(OR(D615="",F615="",G615=""),"",IF(F615+MAX(0,10-G615)&lt;=1,D615,D615*(1+(F615+MAX(0,10-G615))/30)))</f>
        <v/>
      </c>
      <c r="J615" s="16" t="str">
        <f aca="false">IF(A615="","",IF(AND(C615="yes",N(G615)&gt;=7),N(E615),0))</f>
        <v/>
      </c>
      <c r="K615" s="17" t="str">
        <f aca="false">IF(A615="","",A615-WEEKDAY(A615,3))</f>
        <v/>
      </c>
      <c r="L615" s="11"/>
    </row>
    <row r="616" customFormat="false" ht="15" hidden="false" customHeight="false" outlineLevel="0" collapsed="false">
      <c r="A616" s="10"/>
      <c r="B616" s="11"/>
      <c r="C616" s="11"/>
      <c r="D616" s="11"/>
      <c r="E616" s="11"/>
      <c r="F616" s="11"/>
      <c r="G616" s="11"/>
      <c r="H616" s="15" t="str">
        <f aca="false">IF(OR(D616="",F616=""),"",IF(F616&lt;=1,D616,D616*(1+F616/30)))</f>
        <v/>
      </c>
      <c r="I616" s="15" t="str">
        <f aca="false">IF(OR(D616="",F616="",G616=""),"",IF(F616+MAX(0,10-G616)&lt;=1,D616,D616*(1+(F616+MAX(0,10-G616))/30)))</f>
        <v/>
      </c>
      <c r="J616" s="16" t="str">
        <f aca="false">IF(A616="","",IF(AND(C616="yes",N(G616)&gt;=7),N(E616),0))</f>
        <v/>
      </c>
      <c r="K616" s="17" t="str">
        <f aca="false">IF(A616="","",A616-WEEKDAY(A616,3))</f>
        <v/>
      </c>
      <c r="L616" s="11"/>
    </row>
    <row r="617" customFormat="false" ht="15" hidden="false" customHeight="false" outlineLevel="0" collapsed="false">
      <c r="A617" s="10"/>
      <c r="B617" s="11"/>
      <c r="C617" s="11"/>
      <c r="D617" s="11"/>
      <c r="E617" s="11"/>
      <c r="F617" s="11"/>
      <c r="G617" s="11"/>
      <c r="H617" s="15" t="str">
        <f aca="false">IF(OR(D617="",F617=""),"",IF(F617&lt;=1,D617,D617*(1+F617/30)))</f>
        <v/>
      </c>
      <c r="I617" s="15" t="str">
        <f aca="false">IF(OR(D617="",F617="",G617=""),"",IF(F617+MAX(0,10-G617)&lt;=1,D617,D617*(1+(F617+MAX(0,10-G617))/30)))</f>
        <v/>
      </c>
      <c r="J617" s="16" t="str">
        <f aca="false">IF(A617="","",IF(AND(C617="yes",N(G617)&gt;=7),N(E617),0))</f>
        <v/>
      </c>
      <c r="K617" s="17" t="str">
        <f aca="false">IF(A617="","",A617-WEEKDAY(A617,3))</f>
        <v/>
      </c>
      <c r="L617" s="11"/>
    </row>
    <row r="618" customFormat="false" ht="15" hidden="false" customHeight="false" outlineLevel="0" collapsed="false">
      <c r="A618" s="10"/>
      <c r="B618" s="11"/>
      <c r="C618" s="11"/>
      <c r="D618" s="11"/>
      <c r="E618" s="11"/>
      <c r="F618" s="11"/>
      <c r="G618" s="11"/>
      <c r="H618" s="15" t="str">
        <f aca="false">IF(OR(D618="",F618=""),"",IF(F618&lt;=1,D618,D618*(1+F618/30)))</f>
        <v/>
      </c>
      <c r="I618" s="15" t="str">
        <f aca="false">IF(OR(D618="",F618="",G618=""),"",IF(F618+MAX(0,10-G618)&lt;=1,D618,D618*(1+(F618+MAX(0,10-G618))/30)))</f>
        <v/>
      </c>
      <c r="J618" s="16" t="str">
        <f aca="false">IF(A618="","",IF(AND(C618="yes",N(G618)&gt;=7),N(E618),0))</f>
        <v/>
      </c>
      <c r="K618" s="17" t="str">
        <f aca="false">IF(A618="","",A618-WEEKDAY(A618,3))</f>
        <v/>
      </c>
      <c r="L618" s="11"/>
    </row>
    <row r="619" customFormat="false" ht="15" hidden="false" customHeight="false" outlineLevel="0" collapsed="false">
      <c r="A619" s="10"/>
      <c r="B619" s="11"/>
      <c r="C619" s="11"/>
      <c r="D619" s="11"/>
      <c r="E619" s="11"/>
      <c r="F619" s="11"/>
      <c r="G619" s="11"/>
      <c r="H619" s="15" t="str">
        <f aca="false">IF(OR(D619="",F619=""),"",IF(F619&lt;=1,D619,D619*(1+F619/30)))</f>
        <v/>
      </c>
      <c r="I619" s="15" t="str">
        <f aca="false">IF(OR(D619="",F619="",G619=""),"",IF(F619+MAX(0,10-G619)&lt;=1,D619,D619*(1+(F619+MAX(0,10-G619))/30)))</f>
        <v/>
      </c>
      <c r="J619" s="16" t="str">
        <f aca="false">IF(A619="","",IF(AND(C619="yes",N(G619)&gt;=7),N(E619),0))</f>
        <v/>
      </c>
      <c r="K619" s="17" t="str">
        <f aca="false">IF(A619="","",A619-WEEKDAY(A619,3))</f>
        <v/>
      </c>
      <c r="L619" s="11"/>
    </row>
    <row r="620" customFormat="false" ht="15" hidden="false" customHeight="false" outlineLevel="0" collapsed="false">
      <c r="A620" s="10"/>
      <c r="B620" s="11"/>
      <c r="C620" s="11"/>
      <c r="D620" s="11"/>
      <c r="E620" s="11"/>
      <c r="F620" s="11"/>
      <c r="G620" s="11"/>
      <c r="H620" s="15" t="str">
        <f aca="false">IF(OR(D620="",F620=""),"",IF(F620&lt;=1,D620,D620*(1+F620/30)))</f>
        <v/>
      </c>
      <c r="I620" s="15" t="str">
        <f aca="false">IF(OR(D620="",F620="",G620=""),"",IF(F620+MAX(0,10-G620)&lt;=1,D620,D620*(1+(F620+MAX(0,10-G620))/30)))</f>
        <v/>
      </c>
      <c r="J620" s="16" t="str">
        <f aca="false">IF(A620="","",IF(AND(C620="yes",N(G620)&gt;=7),N(E620),0))</f>
        <v/>
      </c>
      <c r="K620" s="17" t="str">
        <f aca="false">IF(A620="","",A620-WEEKDAY(A620,3))</f>
        <v/>
      </c>
      <c r="L620" s="11"/>
    </row>
    <row r="621" customFormat="false" ht="15" hidden="false" customHeight="false" outlineLevel="0" collapsed="false">
      <c r="A621" s="10"/>
      <c r="B621" s="11"/>
      <c r="C621" s="11"/>
      <c r="D621" s="11"/>
      <c r="E621" s="11"/>
      <c r="F621" s="11"/>
      <c r="G621" s="11"/>
      <c r="H621" s="15" t="str">
        <f aca="false">IF(OR(D621="",F621=""),"",IF(F621&lt;=1,D621,D621*(1+F621/30)))</f>
        <v/>
      </c>
      <c r="I621" s="15" t="str">
        <f aca="false">IF(OR(D621="",F621="",G621=""),"",IF(F621+MAX(0,10-G621)&lt;=1,D621,D621*(1+(F621+MAX(0,10-G621))/30)))</f>
        <v/>
      </c>
      <c r="J621" s="16" t="str">
        <f aca="false">IF(A621="","",IF(AND(C621="yes",N(G621)&gt;=7),N(E621),0))</f>
        <v/>
      </c>
      <c r="K621" s="17" t="str">
        <f aca="false">IF(A621="","",A621-WEEKDAY(A621,3))</f>
        <v/>
      </c>
      <c r="L621" s="11"/>
    </row>
    <row r="622" customFormat="false" ht="15" hidden="false" customHeight="false" outlineLevel="0" collapsed="false">
      <c r="A622" s="10"/>
      <c r="B622" s="11"/>
      <c r="C622" s="11"/>
      <c r="D622" s="11"/>
      <c r="E622" s="11"/>
      <c r="F622" s="11"/>
      <c r="G622" s="11"/>
      <c r="H622" s="15" t="str">
        <f aca="false">IF(OR(D622="",F622=""),"",IF(F622&lt;=1,D622,D622*(1+F622/30)))</f>
        <v/>
      </c>
      <c r="I622" s="15" t="str">
        <f aca="false">IF(OR(D622="",F622="",G622=""),"",IF(F622+MAX(0,10-G622)&lt;=1,D622,D622*(1+(F622+MAX(0,10-G622))/30)))</f>
        <v/>
      </c>
      <c r="J622" s="16" t="str">
        <f aca="false">IF(A622="","",IF(AND(C622="yes",N(G622)&gt;=7),N(E622),0))</f>
        <v/>
      </c>
      <c r="K622" s="17" t="str">
        <f aca="false">IF(A622="","",A622-WEEKDAY(A622,3))</f>
        <v/>
      </c>
      <c r="L622" s="11"/>
    </row>
    <row r="623" customFormat="false" ht="15" hidden="false" customHeight="false" outlineLevel="0" collapsed="false">
      <c r="A623" s="10"/>
      <c r="B623" s="11"/>
      <c r="C623" s="11"/>
      <c r="D623" s="11"/>
      <c r="E623" s="11"/>
      <c r="F623" s="11"/>
      <c r="G623" s="11"/>
      <c r="H623" s="15" t="str">
        <f aca="false">IF(OR(D623="",F623=""),"",IF(F623&lt;=1,D623,D623*(1+F623/30)))</f>
        <v/>
      </c>
      <c r="I623" s="15" t="str">
        <f aca="false">IF(OR(D623="",F623="",G623=""),"",IF(F623+MAX(0,10-G623)&lt;=1,D623,D623*(1+(F623+MAX(0,10-G623))/30)))</f>
        <v/>
      </c>
      <c r="J623" s="16" t="str">
        <f aca="false">IF(A623="","",IF(AND(C623="yes",N(G623)&gt;=7),N(E623),0))</f>
        <v/>
      </c>
      <c r="K623" s="17" t="str">
        <f aca="false">IF(A623="","",A623-WEEKDAY(A623,3))</f>
        <v/>
      </c>
      <c r="L623" s="11"/>
    </row>
    <row r="624" customFormat="false" ht="15" hidden="false" customHeight="false" outlineLevel="0" collapsed="false">
      <c r="A624" s="10"/>
      <c r="B624" s="11"/>
      <c r="C624" s="11"/>
      <c r="D624" s="11"/>
      <c r="E624" s="11"/>
      <c r="F624" s="11"/>
      <c r="G624" s="11"/>
      <c r="H624" s="15" t="str">
        <f aca="false">IF(OR(D624="",F624=""),"",IF(F624&lt;=1,D624,D624*(1+F624/30)))</f>
        <v/>
      </c>
      <c r="I624" s="15" t="str">
        <f aca="false">IF(OR(D624="",F624="",G624=""),"",IF(F624+MAX(0,10-G624)&lt;=1,D624,D624*(1+(F624+MAX(0,10-G624))/30)))</f>
        <v/>
      </c>
      <c r="J624" s="16" t="str">
        <f aca="false">IF(A624="","",IF(AND(C624="yes",N(G624)&gt;=7),N(E624),0))</f>
        <v/>
      </c>
      <c r="K624" s="17" t="str">
        <f aca="false">IF(A624="","",A624-WEEKDAY(A624,3))</f>
        <v/>
      </c>
      <c r="L624" s="11"/>
    </row>
    <row r="625" customFormat="false" ht="15" hidden="false" customHeight="false" outlineLevel="0" collapsed="false">
      <c r="A625" s="10"/>
      <c r="B625" s="11"/>
      <c r="C625" s="11"/>
      <c r="D625" s="11"/>
      <c r="E625" s="11"/>
      <c r="F625" s="11"/>
      <c r="G625" s="11"/>
      <c r="H625" s="15" t="str">
        <f aca="false">IF(OR(D625="",F625=""),"",IF(F625&lt;=1,D625,D625*(1+F625/30)))</f>
        <v/>
      </c>
      <c r="I625" s="15" t="str">
        <f aca="false">IF(OR(D625="",F625="",G625=""),"",IF(F625+MAX(0,10-G625)&lt;=1,D625,D625*(1+(F625+MAX(0,10-G625))/30)))</f>
        <v/>
      </c>
      <c r="J625" s="16" t="str">
        <f aca="false">IF(A625="","",IF(AND(C625="yes",N(G625)&gt;=7),N(E625),0))</f>
        <v/>
      </c>
      <c r="K625" s="17" t="str">
        <f aca="false">IF(A625="","",A625-WEEKDAY(A625,3))</f>
        <v/>
      </c>
      <c r="L625" s="11"/>
    </row>
    <row r="626" customFormat="false" ht="15" hidden="false" customHeight="false" outlineLevel="0" collapsed="false">
      <c r="A626" s="10"/>
      <c r="B626" s="11"/>
      <c r="C626" s="11"/>
      <c r="D626" s="11"/>
      <c r="E626" s="11"/>
      <c r="F626" s="11"/>
      <c r="G626" s="11"/>
      <c r="H626" s="15" t="str">
        <f aca="false">IF(OR(D626="",F626=""),"",IF(F626&lt;=1,D626,D626*(1+F626/30)))</f>
        <v/>
      </c>
      <c r="I626" s="15" t="str">
        <f aca="false">IF(OR(D626="",F626="",G626=""),"",IF(F626+MAX(0,10-G626)&lt;=1,D626,D626*(1+(F626+MAX(0,10-G626))/30)))</f>
        <v/>
      </c>
      <c r="J626" s="16" t="str">
        <f aca="false">IF(A626="","",IF(AND(C626="yes",N(G626)&gt;=7),N(E626),0))</f>
        <v/>
      </c>
      <c r="K626" s="17" t="str">
        <f aca="false">IF(A626="","",A626-WEEKDAY(A626,3))</f>
        <v/>
      </c>
      <c r="L626" s="11"/>
    </row>
    <row r="627" customFormat="false" ht="15" hidden="false" customHeight="false" outlineLevel="0" collapsed="false">
      <c r="A627" s="10"/>
      <c r="B627" s="11"/>
      <c r="C627" s="11"/>
      <c r="D627" s="11"/>
      <c r="E627" s="11"/>
      <c r="F627" s="11"/>
      <c r="G627" s="11"/>
      <c r="H627" s="15" t="str">
        <f aca="false">IF(OR(D627="",F627=""),"",IF(F627&lt;=1,D627,D627*(1+F627/30)))</f>
        <v/>
      </c>
      <c r="I627" s="15" t="str">
        <f aca="false">IF(OR(D627="",F627="",G627=""),"",IF(F627+MAX(0,10-G627)&lt;=1,D627,D627*(1+(F627+MAX(0,10-G627))/30)))</f>
        <v/>
      </c>
      <c r="J627" s="16" t="str">
        <f aca="false">IF(A627="","",IF(AND(C627="yes",N(G627)&gt;=7),N(E627),0))</f>
        <v/>
      </c>
      <c r="K627" s="17" t="str">
        <f aca="false">IF(A627="","",A627-WEEKDAY(A627,3))</f>
        <v/>
      </c>
      <c r="L627" s="11"/>
    </row>
    <row r="628" customFormat="false" ht="15" hidden="false" customHeight="false" outlineLevel="0" collapsed="false">
      <c r="A628" s="10"/>
      <c r="B628" s="11"/>
      <c r="C628" s="11"/>
      <c r="D628" s="11"/>
      <c r="E628" s="11"/>
      <c r="F628" s="11"/>
      <c r="G628" s="11"/>
      <c r="H628" s="15" t="str">
        <f aca="false">IF(OR(D628="",F628=""),"",IF(F628&lt;=1,D628,D628*(1+F628/30)))</f>
        <v/>
      </c>
      <c r="I628" s="15" t="str">
        <f aca="false">IF(OR(D628="",F628="",G628=""),"",IF(F628+MAX(0,10-G628)&lt;=1,D628,D628*(1+(F628+MAX(0,10-G628))/30)))</f>
        <v/>
      </c>
      <c r="J628" s="16" t="str">
        <f aca="false">IF(A628="","",IF(AND(C628="yes",N(G628)&gt;=7),N(E628),0))</f>
        <v/>
      </c>
      <c r="K628" s="17" t="str">
        <f aca="false">IF(A628="","",A628-WEEKDAY(A628,3))</f>
        <v/>
      </c>
      <c r="L628" s="11"/>
    </row>
    <row r="629" customFormat="false" ht="15" hidden="false" customHeight="false" outlineLevel="0" collapsed="false">
      <c r="A629" s="10"/>
      <c r="B629" s="11"/>
      <c r="C629" s="11"/>
      <c r="D629" s="11"/>
      <c r="E629" s="11"/>
      <c r="F629" s="11"/>
      <c r="G629" s="11"/>
      <c r="H629" s="15" t="str">
        <f aca="false">IF(OR(D629="",F629=""),"",IF(F629&lt;=1,D629,D629*(1+F629/30)))</f>
        <v/>
      </c>
      <c r="I629" s="15" t="str">
        <f aca="false">IF(OR(D629="",F629="",G629=""),"",IF(F629+MAX(0,10-G629)&lt;=1,D629,D629*(1+(F629+MAX(0,10-G629))/30)))</f>
        <v/>
      </c>
      <c r="J629" s="16" t="str">
        <f aca="false">IF(A629="","",IF(AND(C629="yes",N(G629)&gt;=7),N(E629),0))</f>
        <v/>
      </c>
      <c r="K629" s="17" t="str">
        <f aca="false">IF(A629="","",A629-WEEKDAY(A629,3))</f>
        <v/>
      </c>
      <c r="L629" s="11"/>
    </row>
    <row r="630" customFormat="false" ht="15" hidden="false" customHeight="false" outlineLevel="0" collapsed="false">
      <c r="A630" s="10"/>
      <c r="B630" s="11"/>
      <c r="C630" s="11"/>
      <c r="D630" s="11"/>
      <c r="E630" s="11"/>
      <c r="F630" s="11"/>
      <c r="G630" s="11"/>
      <c r="H630" s="15" t="str">
        <f aca="false">IF(OR(D630="",F630=""),"",IF(F630&lt;=1,D630,D630*(1+F630/30)))</f>
        <v/>
      </c>
      <c r="I630" s="15" t="str">
        <f aca="false">IF(OR(D630="",F630="",G630=""),"",IF(F630+MAX(0,10-G630)&lt;=1,D630,D630*(1+(F630+MAX(0,10-G630))/30)))</f>
        <v/>
      </c>
      <c r="J630" s="16" t="str">
        <f aca="false">IF(A630="","",IF(AND(C630="yes",N(G630)&gt;=7),N(E630),0))</f>
        <v/>
      </c>
      <c r="K630" s="17" t="str">
        <f aca="false">IF(A630="","",A630-WEEKDAY(A630,3))</f>
        <v/>
      </c>
      <c r="L630" s="11"/>
    </row>
    <row r="631" customFormat="false" ht="15" hidden="false" customHeight="false" outlineLevel="0" collapsed="false">
      <c r="A631" s="10"/>
      <c r="B631" s="11"/>
      <c r="C631" s="11"/>
      <c r="D631" s="11"/>
      <c r="E631" s="11"/>
      <c r="F631" s="11"/>
      <c r="G631" s="11"/>
      <c r="H631" s="15" t="str">
        <f aca="false">IF(OR(D631="",F631=""),"",IF(F631&lt;=1,D631,D631*(1+F631/30)))</f>
        <v/>
      </c>
      <c r="I631" s="15" t="str">
        <f aca="false">IF(OR(D631="",F631="",G631=""),"",IF(F631+MAX(0,10-G631)&lt;=1,D631,D631*(1+(F631+MAX(0,10-G631))/30)))</f>
        <v/>
      </c>
      <c r="J631" s="16" t="str">
        <f aca="false">IF(A631="","",IF(AND(C631="yes",N(G631)&gt;=7),N(E631),0))</f>
        <v/>
      </c>
      <c r="K631" s="17" t="str">
        <f aca="false">IF(A631="","",A631-WEEKDAY(A631,3))</f>
        <v/>
      </c>
      <c r="L631" s="11"/>
    </row>
    <row r="632" customFormat="false" ht="15" hidden="false" customHeight="false" outlineLevel="0" collapsed="false">
      <c r="A632" s="10"/>
      <c r="B632" s="11"/>
      <c r="C632" s="11"/>
      <c r="D632" s="11"/>
      <c r="E632" s="11"/>
      <c r="F632" s="11"/>
      <c r="G632" s="11"/>
      <c r="H632" s="15" t="str">
        <f aca="false">IF(OR(D632="",F632=""),"",IF(F632&lt;=1,D632,D632*(1+F632/30)))</f>
        <v/>
      </c>
      <c r="I632" s="15" t="str">
        <f aca="false">IF(OR(D632="",F632="",G632=""),"",IF(F632+MAX(0,10-G632)&lt;=1,D632,D632*(1+(F632+MAX(0,10-G632))/30)))</f>
        <v/>
      </c>
      <c r="J632" s="16" t="str">
        <f aca="false">IF(A632="","",IF(AND(C632="yes",N(G632)&gt;=7),N(E632),0))</f>
        <v/>
      </c>
      <c r="K632" s="17" t="str">
        <f aca="false">IF(A632="","",A632-WEEKDAY(A632,3))</f>
        <v/>
      </c>
      <c r="L632" s="11"/>
    </row>
    <row r="633" customFormat="false" ht="15" hidden="false" customHeight="false" outlineLevel="0" collapsed="false">
      <c r="A633" s="10"/>
      <c r="B633" s="11"/>
      <c r="C633" s="11"/>
      <c r="D633" s="11"/>
      <c r="E633" s="11"/>
      <c r="F633" s="11"/>
      <c r="G633" s="11"/>
      <c r="H633" s="15" t="str">
        <f aca="false">IF(OR(D633="",F633=""),"",IF(F633&lt;=1,D633,D633*(1+F633/30)))</f>
        <v/>
      </c>
      <c r="I633" s="15" t="str">
        <f aca="false">IF(OR(D633="",F633="",G633=""),"",IF(F633+MAX(0,10-G633)&lt;=1,D633,D633*(1+(F633+MAX(0,10-G633))/30)))</f>
        <v/>
      </c>
      <c r="J633" s="16" t="str">
        <f aca="false">IF(A633="","",IF(AND(C633="yes",N(G633)&gt;=7),N(E633),0))</f>
        <v/>
      </c>
      <c r="K633" s="17" t="str">
        <f aca="false">IF(A633="","",A633-WEEKDAY(A633,3))</f>
        <v/>
      </c>
      <c r="L633" s="11"/>
    </row>
    <row r="634" customFormat="false" ht="15" hidden="false" customHeight="false" outlineLevel="0" collapsed="false">
      <c r="A634" s="10"/>
      <c r="B634" s="11"/>
      <c r="C634" s="11"/>
      <c r="D634" s="11"/>
      <c r="E634" s="11"/>
      <c r="F634" s="11"/>
      <c r="G634" s="11"/>
      <c r="H634" s="15" t="str">
        <f aca="false">IF(OR(D634="",F634=""),"",IF(F634&lt;=1,D634,D634*(1+F634/30)))</f>
        <v/>
      </c>
      <c r="I634" s="15" t="str">
        <f aca="false">IF(OR(D634="",F634="",G634=""),"",IF(F634+MAX(0,10-G634)&lt;=1,D634,D634*(1+(F634+MAX(0,10-G634))/30)))</f>
        <v/>
      </c>
      <c r="J634" s="16" t="str">
        <f aca="false">IF(A634="","",IF(AND(C634="yes",N(G634)&gt;=7),N(E634),0))</f>
        <v/>
      </c>
      <c r="K634" s="17" t="str">
        <f aca="false">IF(A634="","",A634-WEEKDAY(A634,3))</f>
        <v/>
      </c>
      <c r="L634" s="11"/>
    </row>
    <row r="635" customFormat="false" ht="15" hidden="false" customHeight="false" outlineLevel="0" collapsed="false">
      <c r="A635" s="10"/>
      <c r="B635" s="11"/>
      <c r="C635" s="11"/>
      <c r="D635" s="11"/>
      <c r="E635" s="11"/>
      <c r="F635" s="11"/>
      <c r="G635" s="11"/>
      <c r="H635" s="15" t="str">
        <f aca="false">IF(OR(D635="",F635=""),"",IF(F635&lt;=1,D635,D635*(1+F635/30)))</f>
        <v/>
      </c>
      <c r="I635" s="15" t="str">
        <f aca="false">IF(OR(D635="",F635="",G635=""),"",IF(F635+MAX(0,10-G635)&lt;=1,D635,D635*(1+(F635+MAX(0,10-G635))/30)))</f>
        <v/>
      </c>
      <c r="J635" s="16" t="str">
        <f aca="false">IF(A635="","",IF(AND(C635="yes",N(G635)&gt;=7),N(E635),0))</f>
        <v/>
      </c>
      <c r="K635" s="17" t="str">
        <f aca="false">IF(A635="","",A635-WEEKDAY(A635,3))</f>
        <v/>
      </c>
      <c r="L635" s="11"/>
    </row>
    <row r="636" customFormat="false" ht="15" hidden="false" customHeight="false" outlineLevel="0" collapsed="false">
      <c r="A636" s="10"/>
      <c r="B636" s="11"/>
      <c r="C636" s="11"/>
      <c r="D636" s="11"/>
      <c r="E636" s="11"/>
      <c r="F636" s="11"/>
      <c r="G636" s="11"/>
      <c r="H636" s="15" t="str">
        <f aca="false">IF(OR(D636="",F636=""),"",IF(F636&lt;=1,D636,D636*(1+F636/30)))</f>
        <v/>
      </c>
      <c r="I636" s="15" t="str">
        <f aca="false">IF(OR(D636="",F636="",G636=""),"",IF(F636+MAX(0,10-G636)&lt;=1,D636,D636*(1+(F636+MAX(0,10-G636))/30)))</f>
        <v/>
      </c>
      <c r="J636" s="16" t="str">
        <f aca="false">IF(A636="","",IF(AND(C636="yes",N(G636)&gt;=7),N(E636),0))</f>
        <v/>
      </c>
      <c r="K636" s="17" t="str">
        <f aca="false">IF(A636="","",A636-WEEKDAY(A636,3))</f>
        <v/>
      </c>
      <c r="L636" s="11"/>
    </row>
    <row r="637" customFormat="false" ht="15" hidden="false" customHeight="false" outlineLevel="0" collapsed="false">
      <c r="A637" s="10"/>
      <c r="B637" s="11"/>
      <c r="C637" s="11"/>
      <c r="D637" s="11"/>
      <c r="E637" s="11"/>
      <c r="F637" s="11"/>
      <c r="G637" s="11"/>
      <c r="H637" s="15" t="str">
        <f aca="false">IF(OR(D637="",F637=""),"",IF(F637&lt;=1,D637,D637*(1+F637/30)))</f>
        <v/>
      </c>
      <c r="I637" s="15" t="str">
        <f aca="false">IF(OR(D637="",F637="",G637=""),"",IF(F637+MAX(0,10-G637)&lt;=1,D637,D637*(1+(F637+MAX(0,10-G637))/30)))</f>
        <v/>
      </c>
      <c r="J637" s="16" t="str">
        <f aca="false">IF(A637="","",IF(AND(C637="yes",N(G637)&gt;=7),N(E637),0))</f>
        <v/>
      </c>
      <c r="K637" s="17" t="str">
        <f aca="false">IF(A637="","",A637-WEEKDAY(A637,3))</f>
        <v/>
      </c>
      <c r="L637" s="11"/>
    </row>
    <row r="638" customFormat="false" ht="15" hidden="false" customHeight="false" outlineLevel="0" collapsed="false">
      <c r="A638" s="10"/>
      <c r="B638" s="11"/>
      <c r="C638" s="11"/>
      <c r="D638" s="11"/>
      <c r="E638" s="11"/>
      <c r="F638" s="11"/>
      <c r="G638" s="11"/>
      <c r="H638" s="15" t="str">
        <f aca="false">IF(OR(D638="",F638=""),"",IF(F638&lt;=1,D638,D638*(1+F638/30)))</f>
        <v/>
      </c>
      <c r="I638" s="15" t="str">
        <f aca="false">IF(OR(D638="",F638="",G638=""),"",IF(F638+MAX(0,10-G638)&lt;=1,D638,D638*(1+(F638+MAX(0,10-G638))/30)))</f>
        <v/>
      </c>
      <c r="J638" s="16" t="str">
        <f aca="false">IF(A638="","",IF(AND(C638="yes",N(G638)&gt;=7),N(E638),0))</f>
        <v/>
      </c>
      <c r="K638" s="17" t="str">
        <f aca="false">IF(A638="","",A638-WEEKDAY(A638,3))</f>
        <v/>
      </c>
      <c r="L638" s="11"/>
    </row>
    <row r="639" customFormat="false" ht="15" hidden="false" customHeight="false" outlineLevel="0" collapsed="false">
      <c r="A639" s="10"/>
      <c r="B639" s="11"/>
      <c r="C639" s="11"/>
      <c r="D639" s="11"/>
      <c r="E639" s="11"/>
      <c r="F639" s="11"/>
      <c r="G639" s="11"/>
      <c r="H639" s="15" t="str">
        <f aca="false">IF(OR(D639="",F639=""),"",IF(F639&lt;=1,D639,D639*(1+F639/30)))</f>
        <v/>
      </c>
      <c r="I639" s="15" t="str">
        <f aca="false">IF(OR(D639="",F639="",G639=""),"",IF(F639+MAX(0,10-G639)&lt;=1,D639,D639*(1+(F639+MAX(0,10-G639))/30)))</f>
        <v/>
      </c>
      <c r="J639" s="16" t="str">
        <f aca="false">IF(A639="","",IF(AND(C639="yes",N(G639)&gt;=7),N(E639),0))</f>
        <v/>
      </c>
      <c r="K639" s="17" t="str">
        <f aca="false">IF(A639="","",A639-WEEKDAY(A639,3))</f>
        <v/>
      </c>
      <c r="L639" s="11"/>
    </row>
    <row r="640" customFormat="false" ht="15" hidden="false" customHeight="false" outlineLevel="0" collapsed="false">
      <c r="A640" s="10"/>
      <c r="B640" s="11"/>
      <c r="C640" s="11"/>
      <c r="D640" s="11"/>
      <c r="E640" s="11"/>
      <c r="F640" s="11"/>
      <c r="G640" s="11"/>
      <c r="H640" s="15" t="str">
        <f aca="false">IF(OR(D640="",F640=""),"",IF(F640&lt;=1,D640,D640*(1+F640/30)))</f>
        <v/>
      </c>
      <c r="I640" s="15" t="str">
        <f aca="false">IF(OR(D640="",F640="",G640=""),"",IF(F640+MAX(0,10-G640)&lt;=1,D640,D640*(1+(F640+MAX(0,10-G640))/30)))</f>
        <v/>
      </c>
      <c r="J640" s="16" t="str">
        <f aca="false">IF(A640="","",IF(AND(C640="yes",N(G640)&gt;=7),N(E640),0))</f>
        <v/>
      </c>
      <c r="K640" s="17" t="str">
        <f aca="false">IF(A640="","",A640-WEEKDAY(A640,3))</f>
        <v/>
      </c>
      <c r="L640" s="11"/>
    </row>
    <row r="641" customFormat="false" ht="15" hidden="false" customHeight="false" outlineLevel="0" collapsed="false">
      <c r="A641" s="10"/>
      <c r="B641" s="11"/>
      <c r="C641" s="11"/>
      <c r="D641" s="11"/>
      <c r="E641" s="11"/>
      <c r="F641" s="11"/>
      <c r="G641" s="11"/>
      <c r="H641" s="15" t="str">
        <f aca="false">IF(OR(D641="",F641=""),"",IF(F641&lt;=1,D641,D641*(1+F641/30)))</f>
        <v/>
      </c>
      <c r="I641" s="15" t="str">
        <f aca="false">IF(OR(D641="",F641="",G641=""),"",IF(F641+MAX(0,10-G641)&lt;=1,D641,D641*(1+(F641+MAX(0,10-G641))/30)))</f>
        <v/>
      </c>
      <c r="J641" s="16" t="str">
        <f aca="false">IF(A641="","",IF(AND(C641="yes",N(G641)&gt;=7),N(E641),0))</f>
        <v/>
      </c>
      <c r="K641" s="17" t="str">
        <f aca="false">IF(A641="","",A641-WEEKDAY(A641,3))</f>
        <v/>
      </c>
      <c r="L641" s="11"/>
    </row>
    <row r="642" customFormat="false" ht="15" hidden="false" customHeight="false" outlineLevel="0" collapsed="false">
      <c r="A642" s="10"/>
      <c r="B642" s="11"/>
      <c r="C642" s="11"/>
      <c r="D642" s="11"/>
      <c r="E642" s="11"/>
      <c r="F642" s="11"/>
      <c r="G642" s="11"/>
      <c r="H642" s="15" t="str">
        <f aca="false">IF(OR(D642="",F642=""),"",IF(F642&lt;=1,D642,D642*(1+F642/30)))</f>
        <v/>
      </c>
      <c r="I642" s="15" t="str">
        <f aca="false">IF(OR(D642="",F642="",G642=""),"",IF(F642+MAX(0,10-G642)&lt;=1,D642,D642*(1+(F642+MAX(0,10-G642))/30)))</f>
        <v/>
      </c>
      <c r="J642" s="16" t="str">
        <f aca="false">IF(A642="","",IF(AND(C642="yes",N(G642)&gt;=7),N(E642),0))</f>
        <v/>
      </c>
      <c r="K642" s="17" t="str">
        <f aca="false">IF(A642="","",A642-WEEKDAY(A642,3))</f>
        <v/>
      </c>
      <c r="L642" s="11"/>
    </row>
    <row r="643" customFormat="false" ht="15" hidden="false" customHeight="false" outlineLevel="0" collapsed="false">
      <c r="A643" s="10"/>
      <c r="B643" s="11"/>
      <c r="C643" s="11"/>
      <c r="D643" s="11"/>
      <c r="E643" s="11"/>
      <c r="F643" s="11"/>
      <c r="G643" s="11"/>
      <c r="H643" s="15" t="str">
        <f aca="false">IF(OR(D643="",F643=""),"",IF(F643&lt;=1,D643,D643*(1+F643/30)))</f>
        <v/>
      </c>
      <c r="I643" s="15" t="str">
        <f aca="false">IF(OR(D643="",F643="",G643=""),"",IF(F643+MAX(0,10-G643)&lt;=1,D643,D643*(1+(F643+MAX(0,10-G643))/30)))</f>
        <v/>
      </c>
      <c r="J643" s="16" t="str">
        <f aca="false">IF(A643="","",IF(AND(C643="yes",N(G643)&gt;=7),N(E643),0))</f>
        <v/>
      </c>
      <c r="K643" s="17" t="str">
        <f aca="false">IF(A643="","",A643-WEEKDAY(A643,3))</f>
        <v/>
      </c>
      <c r="L643" s="11"/>
    </row>
    <row r="644" customFormat="false" ht="15" hidden="false" customHeight="false" outlineLevel="0" collapsed="false">
      <c r="A644" s="10"/>
      <c r="B644" s="11"/>
      <c r="C644" s="11"/>
      <c r="D644" s="11"/>
      <c r="E644" s="11"/>
      <c r="F644" s="11"/>
      <c r="G644" s="11"/>
      <c r="H644" s="15" t="str">
        <f aca="false">IF(OR(D644="",F644=""),"",IF(F644&lt;=1,D644,D644*(1+F644/30)))</f>
        <v/>
      </c>
      <c r="I644" s="15" t="str">
        <f aca="false">IF(OR(D644="",F644="",G644=""),"",IF(F644+MAX(0,10-G644)&lt;=1,D644,D644*(1+(F644+MAX(0,10-G644))/30)))</f>
        <v/>
      </c>
      <c r="J644" s="16" t="str">
        <f aca="false">IF(A644="","",IF(AND(C644="yes",N(G644)&gt;=7),N(E644),0))</f>
        <v/>
      </c>
      <c r="K644" s="17" t="str">
        <f aca="false">IF(A644="","",A644-WEEKDAY(A644,3))</f>
        <v/>
      </c>
      <c r="L644" s="11"/>
    </row>
    <row r="645" customFormat="false" ht="15" hidden="false" customHeight="false" outlineLevel="0" collapsed="false">
      <c r="A645" s="10"/>
      <c r="B645" s="11"/>
      <c r="C645" s="11"/>
      <c r="D645" s="11"/>
      <c r="E645" s="11"/>
      <c r="F645" s="11"/>
      <c r="G645" s="11"/>
      <c r="H645" s="15" t="str">
        <f aca="false">IF(OR(D645="",F645=""),"",IF(F645&lt;=1,D645,D645*(1+F645/30)))</f>
        <v/>
      </c>
      <c r="I645" s="15" t="str">
        <f aca="false">IF(OR(D645="",F645="",G645=""),"",IF(F645+MAX(0,10-G645)&lt;=1,D645,D645*(1+(F645+MAX(0,10-G645))/30)))</f>
        <v/>
      </c>
      <c r="J645" s="16" t="str">
        <f aca="false">IF(A645="","",IF(AND(C645="yes",N(G645)&gt;=7),N(E645),0))</f>
        <v/>
      </c>
      <c r="K645" s="17" t="str">
        <f aca="false">IF(A645="","",A645-WEEKDAY(A645,3))</f>
        <v/>
      </c>
      <c r="L645" s="11"/>
    </row>
    <row r="646" customFormat="false" ht="15" hidden="false" customHeight="false" outlineLevel="0" collapsed="false">
      <c r="A646" s="10"/>
      <c r="B646" s="11"/>
      <c r="C646" s="11"/>
      <c r="D646" s="11"/>
      <c r="E646" s="11"/>
      <c r="F646" s="11"/>
      <c r="G646" s="11"/>
      <c r="H646" s="15" t="str">
        <f aca="false">IF(OR(D646="",F646=""),"",IF(F646&lt;=1,D646,D646*(1+F646/30)))</f>
        <v/>
      </c>
      <c r="I646" s="15" t="str">
        <f aca="false">IF(OR(D646="",F646="",G646=""),"",IF(F646+MAX(0,10-G646)&lt;=1,D646,D646*(1+(F646+MAX(0,10-G646))/30)))</f>
        <v/>
      </c>
      <c r="J646" s="16" t="str">
        <f aca="false">IF(A646="","",IF(AND(C646="yes",N(G646)&gt;=7),N(E646),0))</f>
        <v/>
      </c>
      <c r="K646" s="17" t="str">
        <f aca="false">IF(A646="","",A646-WEEKDAY(A646,3))</f>
        <v/>
      </c>
      <c r="L646" s="11"/>
    </row>
    <row r="647" customFormat="false" ht="15" hidden="false" customHeight="false" outlineLevel="0" collapsed="false">
      <c r="A647" s="10"/>
      <c r="B647" s="11"/>
      <c r="C647" s="11"/>
      <c r="D647" s="11"/>
      <c r="E647" s="11"/>
      <c r="F647" s="11"/>
      <c r="G647" s="11"/>
      <c r="H647" s="15" t="str">
        <f aca="false">IF(OR(D647="",F647=""),"",IF(F647&lt;=1,D647,D647*(1+F647/30)))</f>
        <v/>
      </c>
      <c r="I647" s="15" t="str">
        <f aca="false">IF(OR(D647="",F647="",G647=""),"",IF(F647+MAX(0,10-G647)&lt;=1,D647,D647*(1+(F647+MAX(0,10-G647))/30)))</f>
        <v/>
      </c>
      <c r="J647" s="16" t="str">
        <f aca="false">IF(A647="","",IF(AND(C647="yes",N(G647)&gt;=7),N(E647),0))</f>
        <v/>
      </c>
      <c r="K647" s="17" t="str">
        <f aca="false">IF(A647="","",A647-WEEKDAY(A647,3))</f>
        <v/>
      </c>
      <c r="L647" s="11"/>
    </row>
    <row r="648" customFormat="false" ht="15" hidden="false" customHeight="false" outlineLevel="0" collapsed="false">
      <c r="A648" s="10"/>
      <c r="B648" s="11"/>
      <c r="C648" s="11"/>
      <c r="D648" s="11"/>
      <c r="E648" s="11"/>
      <c r="F648" s="11"/>
      <c r="G648" s="11"/>
      <c r="H648" s="15" t="str">
        <f aca="false">IF(OR(D648="",F648=""),"",IF(F648&lt;=1,D648,D648*(1+F648/30)))</f>
        <v/>
      </c>
      <c r="I648" s="15" t="str">
        <f aca="false">IF(OR(D648="",F648="",G648=""),"",IF(F648+MAX(0,10-G648)&lt;=1,D648,D648*(1+(F648+MAX(0,10-G648))/30)))</f>
        <v/>
      </c>
      <c r="J648" s="16" t="str">
        <f aca="false">IF(A648="","",IF(AND(C648="yes",N(G648)&gt;=7),N(E648),0))</f>
        <v/>
      </c>
      <c r="K648" s="17" t="str">
        <f aca="false">IF(A648="","",A648-WEEKDAY(A648,3))</f>
        <v/>
      </c>
      <c r="L648" s="11"/>
    </row>
    <row r="649" customFormat="false" ht="15" hidden="false" customHeight="false" outlineLevel="0" collapsed="false">
      <c r="A649" s="10"/>
      <c r="B649" s="11"/>
      <c r="C649" s="11"/>
      <c r="D649" s="11"/>
      <c r="E649" s="11"/>
      <c r="F649" s="11"/>
      <c r="G649" s="11"/>
      <c r="H649" s="15" t="str">
        <f aca="false">IF(OR(D649="",F649=""),"",IF(F649&lt;=1,D649,D649*(1+F649/30)))</f>
        <v/>
      </c>
      <c r="I649" s="15" t="str">
        <f aca="false">IF(OR(D649="",F649="",G649=""),"",IF(F649+MAX(0,10-G649)&lt;=1,D649,D649*(1+(F649+MAX(0,10-G649))/30)))</f>
        <v/>
      </c>
      <c r="J649" s="16" t="str">
        <f aca="false">IF(A649="","",IF(AND(C649="yes",N(G649)&gt;=7),N(E649),0))</f>
        <v/>
      </c>
      <c r="K649" s="17" t="str">
        <f aca="false">IF(A649="","",A649-WEEKDAY(A649,3))</f>
        <v/>
      </c>
      <c r="L649" s="11"/>
    </row>
    <row r="650" customFormat="false" ht="15" hidden="false" customHeight="false" outlineLevel="0" collapsed="false">
      <c r="A650" s="10"/>
      <c r="B650" s="11"/>
      <c r="C650" s="11"/>
      <c r="D650" s="11"/>
      <c r="E650" s="11"/>
      <c r="F650" s="11"/>
      <c r="G650" s="11"/>
      <c r="H650" s="15" t="str">
        <f aca="false">IF(OR(D650="",F650=""),"",IF(F650&lt;=1,D650,D650*(1+F650/30)))</f>
        <v/>
      </c>
      <c r="I650" s="15" t="str">
        <f aca="false">IF(OR(D650="",F650="",G650=""),"",IF(F650+MAX(0,10-G650)&lt;=1,D650,D650*(1+(F650+MAX(0,10-G650))/30)))</f>
        <v/>
      </c>
      <c r="J650" s="16" t="str">
        <f aca="false">IF(A650="","",IF(AND(C650="yes",N(G650)&gt;=7),N(E650),0))</f>
        <v/>
      </c>
      <c r="K650" s="17" t="str">
        <f aca="false">IF(A650="","",A650-WEEKDAY(A650,3))</f>
        <v/>
      </c>
      <c r="L650" s="11"/>
    </row>
    <row r="651" customFormat="false" ht="15" hidden="false" customHeight="false" outlineLevel="0" collapsed="false">
      <c r="A651" s="10"/>
      <c r="B651" s="11"/>
      <c r="C651" s="11"/>
      <c r="D651" s="11"/>
      <c r="E651" s="11"/>
      <c r="F651" s="11"/>
      <c r="G651" s="11"/>
      <c r="H651" s="15" t="str">
        <f aca="false">IF(OR(D651="",F651=""),"",IF(F651&lt;=1,D651,D651*(1+F651/30)))</f>
        <v/>
      </c>
      <c r="I651" s="15" t="str">
        <f aca="false">IF(OR(D651="",F651="",G651=""),"",IF(F651+MAX(0,10-G651)&lt;=1,D651,D651*(1+(F651+MAX(0,10-G651))/30)))</f>
        <v/>
      </c>
      <c r="J651" s="16" t="str">
        <f aca="false">IF(A651="","",IF(AND(C651="yes",N(G651)&gt;=7),N(E651),0))</f>
        <v/>
      </c>
      <c r="K651" s="17" t="str">
        <f aca="false">IF(A651="","",A651-WEEKDAY(A651,3))</f>
        <v/>
      </c>
      <c r="L651" s="11"/>
    </row>
    <row r="652" customFormat="false" ht="15" hidden="false" customHeight="false" outlineLevel="0" collapsed="false">
      <c r="A652" s="10"/>
      <c r="B652" s="11"/>
      <c r="C652" s="11"/>
      <c r="D652" s="11"/>
      <c r="E652" s="11"/>
      <c r="F652" s="11"/>
      <c r="G652" s="11"/>
      <c r="H652" s="15" t="str">
        <f aca="false">IF(OR(D652="",F652=""),"",IF(F652&lt;=1,D652,D652*(1+F652/30)))</f>
        <v/>
      </c>
      <c r="I652" s="15" t="str">
        <f aca="false">IF(OR(D652="",F652="",G652=""),"",IF(F652+MAX(0,10-G652)&lt;=1,D652,D652*(1+(F652+MAX(0,10-G652))/30)))</f>
        <v/>
      </c>
      <c r="J652" s="16" t="str">
        <f aca="false">IF(A652="","",IF(AND(C652="yes",N(G652)&gt;=7),N(E652),0))</f>
        <v/>
      </c>
      <c r="K652" s="17" t="str">
        <f aca="false">IF(A652="","",A652-WEEKDAY(A652,3))</f>
        <v/>
      </c>
      <c r="L652" s="11"/>
    </row>
    <row r="653" customFormat="false" ht="15" hidden="false" customHeight="false" outlineLevel="0" collapsed="false">
      <c r="A653" s="10"/>
      <c r="B653" s="11"/>
      <c r="C653" s="11"/>
      <c r="D653" s="11"/>
      <c r="E653" s="11"/>
      <c r="F653" s="11"/>
      <c r="G653" s="11"/>
      <c r="H653" s="15" t="str">
        <f aca="false">IF(OR(D653="",F653=""),"",IF(F653&lt;=1,D653,D653*(1+F653/30)))</f>
        <v/>
      </c>
      <c r="I653" s="15" t="str">
        <f aca="false">IF(OR(D653="",F653="",G653=""),"",IF(F653+MAX(0,10-G653)&lt;=1,D653,D653*(1+(F653+MAX(0,10-G653))/30)))</f>
        <v/>
      </c>
      <c r="J653" s="16" t="str">
        <f aca="false">IF(A653="","",IF(AND(C653="yes",N(G653)&gt;=7),N(E653),0))</f>
        <v/>
      </c>
      <c r="K653" s="17" t="str">
        <f aca="false">IF(A653="","",A653-WEEKDAY(A653,3))</f>
        <v/>
      </c>
      <c r="L653" s="11"/>
    </row>
    <row r="654" customFormat="false" ht="15" hidden="false" customHeight="false" outlineLevel="0" collapsed="false">
      <c r="A654" s="10"/>
      <c r="B654" s="11"/>
      <c r="C654" s="11"/>
      <c r="D654" s="11"/>
      <c r="E654" s="11"/>
      <c r="F654" s="11"/>
      <c r="G654" s="11"/>
      <c r="H654" s="15" t="str">
        <f aca="false">IF(OR(D654="",F654=""),"",IF(F654&lt;=1,D654,D654*(1+F654/30)))</f>
        <v/>
      </c>
      <c r="I654" s="15" t="str">
        <f aca="false">IF(OR(D654="",F654="",G654=""),"",IF(F654+MAX(0,10-G654)&lt;=1,D654,D654*(1+(F654+MAX(0,10-G654))/30)))</f>
        <v/>
      </c>
      <c r="J654" s="16" t="str">
        <f aca="false">IF(A654="","",IF(AND(C654="yes",N(G654)&gt;=7),N(E654),0))</f>
        <v/>
      </c>
      <c r="K654" s="17" t="str">
        <f aca="false">IF(A654="","",A654-WEEKDAY(A654,3))</f>
        <v/>
      </c>
      <c r="L654" s="11"/>
    </row>
    <row r="655" customFormat="false" ht="15" hidden="false" customHeight="false" outlineLevel="0" collapsed="false">
      <c r="A655" s="10"/>
      <c r="B655" s="11"/>
      <c r="C655" s="11"/>
      <c r="D655" s="11"/>
      <c r="E655" s="11"/>
      <c r="F655" s="11"/>
      <c r="G655" s="11"/>
      <c r="H655" s="15" t="str">
        <f aca="false">IF(OR(D655="",F655=""),"",IF(F655&lt;=1,D655,D655*(1+F655/30)))</f>
        <v/>
      </c>
      <c r="I655" s="15" t="str">
        <f aca="false">IF(OR(D655="",F655="",G655=""),"",IF(F655+MAX(0,10-G655)&lt;=1,D655,D655*(1+(F655+MAX(0,10-G655))/30)))</f>
        <v/>
      </c>
      <c r="J655" s="16" t="str">
        <f aca="false">IF(A655="","",IF(AND(C655="yes",N(G655)&gt;=7),N(E655),0))</f>
        <v/>
      </c>
      <c r="K655" s="17" t="str">
        <f aca="false">IF(A655="","",A655-WEEKDAY(A655,3))</f>
        <v/>
      </c>
      <c r="L655" s="11"/>
    </row>
    <row r="656" customFormat="false" ht="15" hidden="false" customHeight="false" outlineLevel="0" collapsed="false">
      <c r="A656" s="10"/>
      <c r="B656" s="11"/>
      <c r="C656" s="11"/>
      <c r="D656" s="11"/>
      <c r="E656" s="11"/>
      <c r="F656" s="11"/>
      <c r="G656" s="11"/>
      <c r="H656" s="15" t="str">
        <f aca="false">IF(OR(D656="",F656=""),"",IF(F656&lt;=1,D656,D656*(1+F656/30)))</f>
        <v/>
      </c>
      <c r="I656" s="15" t="str">
        <f aca="false">IF(OR(D656="",F656="",G656=""),"",IF(F656+MAX(0,10-G656)&lt;=1,D656,D656*(1+(F656+MAX(0,10-G656))/30)))</f>
        <v/>
      </c>
      <c r="J656" s="16" t="str">
        <f aca="false">IF(A656="","",IF(AND(C656="yes",N(G656)&gt;=7),N(E656),0))</f>
        <v/>
      </c>
      <c r="K656" s="17" t="str">
        <f aca="false">IF(A656="","",A656-WEEKDAY(A656,3))</f>
        <v/>
      </c>
      <c r="L656" s="11"/>
    </row>
    <row r="657" customFormat="false" ht="15" hidden="false" customHeight="false" outlineLevel="0" collapsed="false">
      <c r="A657" s="10"/>
      <c r="B657" s="11"/>
      <c r="C657" s="11"/>
      <c r="D657" s="11"/>
      <c r="E657" s="11"/>
      <c r="F657" s="11"/>
      <c r="G657" s="11"/>
      <c r="H657" s="15" t="str">
        <f aca="false">IF(OR(D657="",F657=""),"",IF(F657&lt;=1,D657,D657*(1+F657/30)))</f>
        <v/>
      </c>
      <c r="I657" s="15" t="str">
        <f aca="false">IF(OR(D657="",F657="",G657=""),"",IF(F657+MAX(0,10-G657)&lt;=1,D657,D657*(1+(F657+MAX(0,10-G657))/30)))</f>
        <v/>
      </c>
      <c r="J657" s="16" t="str">
        <f aca="false">IF(A657="","",IF(AND(C657="yes",N(G657)&gt;=7),N(E657),0))</f>
        <v/>
      </c>
      <c r="K657" s="17" t="str">
        <f aca="false">IF(A657="","",A657-WEEKDAY(A657,3))</f>
        <v/>
      </c>
      <c r="L657" s="11"/>
    </row>
    <row r="658" customFormat="false" ht="15" hidden="false" customHeight="false" outlineLevel="0" collapsed="false">
      <c r="A658" s="10"/>
      <c r="B658" s="11"/>
      <c r="C658" s="11"/>
      <c r="D658" s="11"/>
      <c r="E658" s="11"/>
      <c r="F658" s="11"/>
      <c r="G658" s="11"/>
      <c r="H658" s="15" t="str">
        <f aca="false">IF(OR(D658="",F658=""),"",IF(F658&lt;=1,D658,D658*(1+F658/30)))</f>
        <v/>
      </c>
      <c r="I658" s="15" t="str">
        <f aca="false">IF(OR(D658="",F658="",G658=""),"",IF(F658+MAX(0,10-G658)&lt;=1,D658,D658*(1+(F658+MAX(0,10-G658))/30)))</f>
        <v/>
      </c>
      <c r="J658" s="16" t="str">
        <f aca="false">IF(A658="","",IF(AND(C658="yes",N(G658)&gt;=7),N(E658),0))</f>
        <v/>
      </c>
      <c r="K658" s="17" t="str">
        <f aca="false">IF(A658="","",A658-WEEKDAY(A658,3))</f>
        <v/>
      </c>
      <c r="L658" s="11"/>
    </row>
    <row r="659" customFormat="false" ht="15" hidden="false" customHeight="false" outlineLevel="0" collapsed="false">
      <c r="A659" s="10"/>
      <c r="B659" s="11"/>
      <c r="C659" s="11"/>
      <c r="D659" s="11"/>
      <c r="E659" s="11"/>
      <c r="F659" s="11"/>
      <c r="G659" s="11"/>
      <c r="H659" s="15" t="str">
        <f aca="false">IF(OR(D659="",F659=""),"",IF(F659&lt;=1,D659,D659*(1+F659/30)))</f>
        <v/>
      </c>
      <c r="I659" s="15" t="str">
        <f aca="false">IF(OR(D659="",F659="",G659=""),"",IF(F659+MAX(0,10-G659)&lt;=1,D659,D659*(1+(F659+MAX(0,10-G659))/30)))</f>
        <v/>
      </c>
      <c r="J659" s="16" t="str">
        <f aca="false">IF(A659="","",IF(AND(C659="yes",N(G659)&gt;=7),N(E659),0))</f>
        <v/>
      </c>
      <c r="K659" s="17" t="str">
        <f aca="false">IF(A659="","",A659-WEEKDAY(A659,3))</f>
        <v/>
      </c>
      <c r="L659" s="11"/>
    </row>
    <row r="660" customFormat="false" ht="15" hidden="false" customHeight="false" outlineLevel="0" collapsed="false">
      <c r="A660" s="10"/>
      <c r="B660" s="11"/>
      <c r="C660" s="11"/>
      <c r="D660" s="11"/>
      <c r="E660" s="11"/>
      <c r="F660" s="11"/>
      <c r="G660" s="11"/>
      <c r="H660" s="15" t="str">
        <f aca="false">IF(OR(D660="",F660=""),"",IF(F660&lt;=1,D660,D660*(1+F660/30)))</f>
        <v/>
      </c>
      <c r="I660" s="15" t="str">
        <f aca="false">IF(OR(D660="",F660="",G660=""),"",IF(F660+MAX(0,10-G660)&lt;=1,D660,D660*(1+(F660+MAX(0,10-G660))/30)))</f>
        <v/>
      </c>
      <c r="J660" s="16" t="str">
        <f aca="false">IF(A660="","",IF(AND(C660="yes",N(G660)&gt;=7),N(E660),0))</f>
        <v/>
      </c>
      <c r="K660" s="17" t="str">
        <f aca="false">IF(A660="","",A660-WEEKDAY(A660,3))</f>
        <v/>
      </c>
      <c r="L660" s="11"/>
    </row>
    <row r="661" customFormat="false" ht="15" hidden="false" customHeight="false" outlineLevel="0" collapsed="false">
      <c r="A661" s="10"/>
      <c r="B661" s="11"/>
      <c r="C661" s="11"/>
      <c r="D661" s="11"/>
      <c r="E661" s="11"/>
      <c r="F661" s="11"/>
      <c r="G661" s="11"/>
      <c r="H661" s="15" t="str">
        <f aca="false">IF(OR(D661="",F661=""),"",IF(F661&lt;=1,D661,D661*(1+F661/30)))</f>
        <v/>
      </c>
      <c r="I661" s="15" t="str">
        <f aca="false">IF(OR(D661="",F661="",G661=""),"",IF(F661+MAX(0,10-G661)&lt;=1,D661,D661*(1+(F661+MAX(0,10-G661))/30)))</f>
        <v/>
      </c>
      <c r="J661" s="16" t="str">
        <f aca="false">IF(A661="","",IF(AND(C661="yes",N(G661)&gt;=7),N(E661),0))</f>
        <v/>
      </c>
      <c r="K661" s="17" t="str">
        <f aca="false">IF(A661="","",A661-WEEKDAY(A661,3))</f>
        <v/>
      </c>
      <c r="L661" s="11"/>
    </row>
    <row r="662" customFormat="false" ht="15" hidden="false" customHeight="false" outlineLevel="0" collapsed="false">
      <c r="A662" s="10"/>
      <c r="B662" s="11"/>
      <c r="C662" s="11"/>
      <c r="D662" s="11"/>
      <c r="E662" s="11"/>
      <c r="F662" s="11"/>
      <c r="G662" s="11"/>
      <c r="H662" s="15" t="str">
        <f aca="false">IF(OR(D662="",F662=""),"",IF(F662&lt;=1,D662,D662*(1+F662/30)))</f>
        <v/>
      </c>
      <c r="I662" s="15" t="str">
        <f aca="false">IF(OR(D662="",F662="",G662=""),"",IF(F662+MAX(0,10-G662)&lt;=1,D662,D662*(1+(F662+MAX(0,10-G662))/30)))</f>
        <v/>
      </c>
      <c r="J662" s="16" t="str">
        <f aca="false">IF(A662="","",IF(AND(C662="yes",N(G662)&gt;=7),N(E662),0))</f>
        <v/>
      </c>
      <c r="K662" s="17" t="str">
        <f aca="false">IF(A662="","",A662-WEEKDAY(A662,3))</f>
        <v/>
      </c>
      <c r="L662" s="11"/>
    </row>
    <row r="663" customFormat="false" ht="15" hidden="false" customHeight="false" outlineLevel="0" collapsed="false">
      <c r="A663" s="10"/>
      <c r="B663" s="11"/>
      <c r="C663" s="11"/>
      <c r="D663" s="11"/>
      <c r="E663" s="11"/>
      <c r="F663" s="11"/>
      <c r="G663" s="11"/>
      <c r="H663" s="15" t="str">
        <f aca="false">IF(OR(D663="",F663=""),"",IF(F663&lt;=1,D663,D663*(1+F663/30)))</f>
        <v/>
      </c>
      <c r="I663" s="15" t="str">
        <f aca="false">IF(OR(D663="",F663="",G663=""),"",IF(F663+MAX(0,10-G663)&lt;=1,D663,D663*(1+(F663+MAX(0,10-G663))/30)))</f>
        <v/>
      </c>
      <c r="J663" s="16" t="str">
        <f aca="false">IF(A663="","",IF(AND(C663="yes",N(G663)&gt;=7),N(E663),0))</f>
        <v/>
      </c>
      <c r="K663" s="17" t="str">
        <f aca="false">IF(A663="","",A663-WEEKDAY(A663,3))</f>
        <v/>
      </c>
      <c r="L663" s="11"/>
    </row>
    <row r="664" customFormat="false" ht="15" hidden="false" customHeight="false" outlineLevel="0" collapsed="false">
      <c r="A664" s="10"/>
      <c r="B664" s="11"/>
      <c r="C664" s="11"/>
      <c r="D664" s="11"/>
      <c r="E664" s="11"/>
      <c r="F664" s="11"/>
      <c r="G664" s="11"/>
      <c r="H664" s="15" t="str">
        <f aca="false">IF(OR(D664="",F664=""),"",IF(F664&lt;=1,D664,D664*(1+F664/30)))</f>
        <v/>
      </c>
      <c r="I664" s="15" t="str">
        <f aca="false">IF(OR(D664="",F664="",G664=""),"",IF(F664+MAX(0,10-G664)&lt;=1,D664,D664*(1+(F664+MAX(0,10-G664))/30)))</f>
        <v/>
      </c>
      <c r="J664" s="16" t="str">
        <f aca="false">IF(A664="","",IF(AND(C664="yes",N(G664)&gt;=7),N(E664),0))</f>
        <v/>
      </c>
      <c r="K664" s="17" t="str">
        <f aca="false">IF(A664="","",A664-WEEKDAY(A664,3))</f>
        <v/>
      </c>
      <c r="L664" s="11"/>
    </row>
    <row r="665" customFormat="false" ht="15" hidden="false" customHeight="false" outlineLevel="0" collapsed="false">
      <c r="A665" s="10"/>
      <c r="B665" s="11"/>
      <c r="C665" s="11"/>
      <c r="D665" s="11"/>
      <c r="E665" s="11"/>
      <c r="F665" s="11"/>
      <c r="G665" s="11"/>
      <c r="H665" s="15" t="str">
        <f aca="false">IF(OR(D665="",F665=""),"",IF(F665&lt;=1,D665,D665*(1+F665/30)))</f>
        <v/>
      </c>
      <c r="I665" s="15" t="str">
        <f aca="false">IF(OR(D665="",F665="",G665=""),"",IF(F665+MAX(0,10-G665)&lt;=1,D665,D665*(1+(F665+MAX(0,10-G665))/30)))</f>
        <v/>
      </c>
      <c r="J665" s="16" t="str">
        <f aca="false">IF(A665="","",IF(AND(C665="yes",N(G665)&gt;=7),N(E665),0))</f>
        <v/>
      </c>
      <c r="K665" s="17" t="str">
        <f aca="false">IF(A665="","",A665-WEEKDAY(A665,3))</f>
        <v/>
      </c>
      <c r="L665" s="11"/>
    </row>
    <row r="666" customFormat="false" ht="15" hidden="false" customHeight="false" outlineLevel="0" collapsed="false">
      <c r="A666" s="10"/>
      <c r="B666" s="11"/>
      <c r="C666" s="11"/>
      <c r="D666" s="11"/>
      <c r="E666" s="11"/>
      <c r="F666" s="11"/>
      <c r="G666" s="11"/>
      <c r="H666" s="15" t="str">
        <f aca="false">IF(OR(D666="",F666=""),"",IF(F666&lt;=1,D666,D666*(1+F666/30)))</f>
        <v/>
      </c>
      <c r="I666" s="15" t="str">
        <f aca="false">IF(OR(D666="",F666="",G666=""),"",IF(F666+MAX(0,10-G666)&lt;=1,D666,D666*(1+(F666+MAX(0,10-G666))/30)))</f>
        <v/>
      </c>
      <c r="J666" s="16" t="str">
        <f aca="false">IF(A666="","",IF(AND(C666="yes",N(G666)&gt;=7),N(E666),0))</f>
        <v/>
      </c>
      <c r="K666" s="17" t="str">
        <f aca="false">IF(A666="","",A666-WEEKDAY(A666,3))</f>
        <v/>
      </c>
      <c r="L666" s="11"/>
    </row>
    <row r="667" customFormat="false" ht="15" hidden="false" customHeight="false" outlineLevel="0" collapsed="false">
      <c r="A667" s="10"/>
      <c r="B667" s="11"/>
      <c r="C667" s="11"/>
      <c r="D667" s="11"/>
      <c r="E667" s="11"/>
      <c r="F667" s="11"/>
      <c r="G667" s="11"/>
      <c r="H667" s="15" t="str">
        <f aca="false">IF(OR(D667="",F667=""),"",IF(F667&lt;=1,D667,D667*(1+F667/30)))</f>
        <v/>
      </c>
      <c r="I667" s="15" t="str">
        <f aca="false">IF(OR(D667="",F667="",G667=""),"",IF(F667+MAX(0,10-G667)&lt;=1,D667,D667*(1+(F667+MAX(0,10-G667))/30)))</f>
        <v/>
      </c>
      <c r="J667" s="16" t="str">
        <f aca="false">IF(A667="","",IF(AND(C667="yes",N(G667)&gt;=7),N(E667),0))</f>
        <v/>
      </c>
      <c r="K667" s="17" t="str">
        <f aca="false">IF(A667="","",A667-WEEKDAY(A667,3))</f>
        <v/>
      </c>
      <c r="L667" s="11"/>
    </row>
    <row r="668" customFormat="false" ht="15" hidden="false" customHeight="false" outlineLevel="0" collapsed="false">
      <c r="A668" s="10"/>
      <c r="B668" s="11"/>
      <c r="C668" s="11"/>
      <c r="D668" s="11"/>
      <c r="E668" s="11"/>
      <c r="F668" s="11"/>
      <c r="G668" s="11"/>
      <c r="H668" s="15" t="str">
        <f aca="false">IF(OR(D668="",F668=""),"",IF(F668&lt;=1,D668,D668*(1+F668/30)))</f>
        <v/>
      </c>
      <c r="I668" s="15" t="str">
        <f aca="false">IF(OR(D668="",F668="",G668=""),"",IF(F668+MAX(0,10-G668)&lt;=1,D668,D668*(1+(F668+MAX(0,10-G668))/30)))</f>
        <v/>
      </c>
      <c r="J668" s="16" t="str">
        <f aca="false">IF(A668="","",IF(AND(C668="yes",N(G668)&gt;=7),N(E668),0))</f>
        <v/>
      </c>
      <c r="K668" s="17" t="str">
        <f aca="false">IF(A668="","",A668-WEEKDAY(A668,3))</f>
        <v/>
      </c>
      <c r="L668" s="11"/>
    </row>
    <row r="669" customFormat="false" ht="15" hidden="false" customHeight="false" outlineLevel="0" collapsed="false">
      <c r="A669" s="10"/>
      <c r="B669" s="11"/>
      <c r="C669" s="11"/>
      <c r="D669" s="11"/>
      <c r="E669" s="11"/>
      <c r="F669" s="11"/>
      <c r="G669" s="11"/>
      <c r="H669" s="15" t="str">
        <f aca="false">IF(OR(D669="",F669=""),"",IF(F669&lt;=1,D669,D669*(1+F669/30)))</f>
        <v/>
      </c>
      <c r="I669" s="15" t="str">
        <f aca="false">IF(OR(D669="",F669="",G669=""),"",IF(F669+MAX(0,10-G669)&lt;=1,D669,D669*(1+(F669+MAX(0,10-G669))/30)))</f>
        <v/>
      </c>
      <c r="J669" s="16" t="str">
        <f aca="false">IF(A669="","",IF(AND(C669="yes",N(G669)&gt;=7),N(E669),0))</f>
        <v/>
      </c>
      <c r="K669" s="17" t="str">
        <f aca="false">IF(A669="","",A669-WEEKDAY(A669,3))</f>
        <v/>
      </c>
      <c r="L669" s="11"/>
    </row>
    <row r="670" customFormat="false" ht="15" hidden="false" customHeight="false" outlineLevel="0" collapsed="false">
      <c r="A670" s="10"/>
      <c r="B670" s="11"/>
      <c r="C670" s="11"/>
      <c r="D670" s="11"/>
      <c r="E670" s="11"/>
      <c r="F670" s="11"/>
      <c r="G670" s="11"/>
      <c r="H670" s="15" t="str">
        <f aca="false">IF(OR(D670="",F670=""),"",IF(F670&lt;=1,D670,D670*(1+F670/30)))</f>
        <v/>
      </c>
      <c r="I670" s="15" t="str">
        <f aca="false">IF(OR(D670="",F670="",G670=""),"",IF(F670+MAX(0,10-G670)&lt;=1,D670,D670*(1+(F670+MAX(0,10-G670))/30)))</f>
        <v/>
      </c>
      <c r="J670" s="16" t="str">
        <f aca="false">IF(A670="","",IF(AND(C670="yes",N(G670)&gt;=7),N(E670),0))</f>
        <v/>
      </c>
      <c r="K670" s="17" t="str">
        <f aca="false">IF(A670="","",A670-WEEKDAY(A670,3))</f>
        <v/>
      </c>
      <c r="L670" s="11"/>
    </row>
    <row r="671" customFormat="false" ht="15" hidden="false" customHeight="false" outlineLevel="0" collapsed="false">
      <c r="A671" s="10"/>
      <c r="B671" s="11"/>
      <c r="C671" s="11"/>
      <c r="D671" s="11"/>
      <c r="E671" s="11"/>
      <c r="F671" s="11"/>
      <c r="G671" s="11"/>
      <c r="H671" s="15" t="str">
        <f aca="false">IF(OR(D671="",F671=""),"",IF(F671&lt;=1,D671,D671*(1+F671/30)))</f>
        <v/>
      </c>
      <c r="I671" s="15" t="str">
        <f aca="false">IF(OR(D671="",F671="",G671=""),"",IF(F671+MAX(0,10-G671)&lt;=1,D671,D671*(1+(F671+MAX(0,10-G671))/30)))</f>
        <v/>
      </c>
      <c r="J671" s="16" t="str">
        <f aca="false">IF(A671="","",IF(AND(C671="yes",N(G671)&gt;=7),N(E671),0))</f>
        <v/>
      </c>
      <c r="K671" s="17" t="str">
        <f aca="false">IF(A671="","",A671-WEEKDAY(A671,3))</f>
        <v/>
      </c>
      <c r="L671" s="11"/>
    </row>
    <row r="672" customFormat="false" ht="15" hidden="false" customHeight="false" outlineLevel="0" collapsed="false">
      <c r="A672" s="10"/>
      <c r="B672" s="11"/>
      <c r="C672" s="11"/>
      <c r="D672" s="11"/>
      <c r="E672" s="11"/>
      <c r="F672" s="11"/>
      <c r="G672" s="11"/>
      <c r="H672" s="15" t="str">
        <f aca="false">IF(OR(D672="",F672=""),"",IF(F672&lt;=1,D672,D672*(1+F672/30)))</f>
        <v/>
      </c>
      <c r="I672" s="15" t="str">
        <f aca="false">IF(OR(D672="",F672="",G672=""),"",IF(F672+MAX(0,10-G672)&lt;=1,D672,D672*(1+(F672+MAX(0,10-G672))/30)))</f>
        <v/>
      </c>
      <c r="J672" s="16" t="str">
        <f aca="false">IF(A672="","",IF(AND(C672="yes",N(G672)&gt;=7),N(E672),0))</f>
        <v/>
      </c>
      <c r="K672" s="17" t="str">
        <f aca="false">IF(A672="","",A672-WEEKDAY(A672,3))</f>
        <v/>
      </c>
      <c r="L672" s="11"/>
    </row>
    <row r="673" customFormat="false" ht="15" hidden="false" customHeight="false" outlineLevel="0" collapsed="false">
      <c r="A673" s="10"/>
      <c r="B673" s="11"/>
      <c r="C673" s="11"/>
      <c r="D673" s="11"/>
      <c r="E673" s="11"/>
      <c r="F673" s="11"/>
      <c r="G673" s="11"/>
      <c r="H673" s="15" t="str">
        <f aca="false">IF(OR(D673="",F673=""),"",IF(F673&lt;=1,D673,D673*(1+F673/30)))</f>
        <v/>
      </c>
      <c r="I673" s="15" t="str">
        <f aca="false">IF(OR(D673="",F673="",G673=""),"",IF(F673+MAX(0,10-G673)&lt;=1,D673,D673*(1+(F673+MAX(0,10-G673))/30)))</f>
        <v/>
      </c>
      <c r="J673" s="16" t="str">
        <f aca="false">IF(A673="","",IF(AND(C673="yes",N(G673)&gt;=7),N(E673),0))</f>
        <v/>
      </c>
      <c r="K673" s="17" t="str">
        <f aca="false">IF(A673="","",A673-WEEKDAY(A673,3))</f>
        <v/>
      </c>
      <c r="L673" s="11"/>
    </row>
    <row r="674" customFormat="false" ht="15" hidden="false" customHeight="false" outlineLevel="0" collapsed="false">
      <c r="A674" s="10"/>
      <c r="B674" s="11"/>
      <c r="C674" s="11"/>
      <c r="D674" s="11"/>
      <c r="E674" s="11"/>
      <c r="F674" s="11"/>
      <c r="G674" s="11"/>
      <c r="H674" s="15" t="str">
        <f aca="false">IF(OR(D674="",F674=""),"",IF(F674&lt;=1,D674,D674*(1+F674/30)))</f>
        <v/>
      </c>
      <c r="I674" s="15" t="str">
        <f aca="false">IF(OR(D674="",F674="",G674=""),"",IF(F674+MAX(0,10-G674)&lt;=1,D674,D674*(1+(F674+MAX(0,10-G674))/30)))</f>
        <v/>
      </c>
      <c r="J674" s="16" t="str">
        <f aca="false">IF(A674="","",IF(AND(C674="yes",N(G674)&gt;=7),N(E674),0))</f>
        <v/>
      </c>
      <c r="K674" s="17" t="str">
        <f aca="false">IF(A674="","",A674-WEEKDAY(A674,3))</f>
        <v/>
      </c>
      <c r="L674" s="11"/>
    </row>
    <row r="675" customFormat="false" ht="15" hidden="false" customHeight="false" outlineLevel="0" collapsed="false">
      <c r="A675" s="10"/>
      <c r="B675" s="11"/>
      <c r="C675" s="11"/>
      <c r="D675" s="11"/>
      <c r="E675" s="11"/>
      <c r="F675" s="11"/>
      <c r="G675" s="11"/>
      <c r="H675" s="15" t="str">
        <f aca="false">IF(OR(D675="",F675=""),"",IF(F675&lt;=1,D675,D675*(1+F675/30)))</f>
        <v/>
      </c>
      <c r="I675" s="15" t="str">
        <f aca="false">IF(OR(D675="",F675="",G675=""),"",IF(F675+MAX(0,10-G675)&lt;=1,D675,D675*(1+(F675+MAX(0,10-G675))/30)))</f>
        <v/>
      </c>
      <c r="J675" s="16" t="str">
        <f aca="false">IF(A675="","",IF(AND(C675="yes",N(G675)&gt;=7),N(E675),0))</f>
        <v/>
      </c>
      <c r="K675" s="17" t="str">
        <f aca="false">IF(A675="","",A675-WEEKDAY(A675,3))</f>
        <v/>
      </c>
      <c r="L675" s="11"/>
    </row>
    <row r="676" customFormat="false" ht="15" hidden="false" customHeight="false" outlineLevel="0" collapsed="false">
      <c r="A676" s="10"/>
      <c r="B676" s="11"/>
      <c r="C676" s="11"/>
      <c r="D676" s="11"/>
      <c r="E676" s="11"/>
      <c r="F676" s="11"/>
      <c r="G676" s="11"/>
      <c r="H676" s="15" t="str">
        <f aca="false">IF(OR(D676="",F676=""),"",IF(F676&lt;=1,D676,D676*(1+F676/30)))</f>
        <v/>
      </c>
      <c r="I676" s="15" t="str">
        <f aca="false">IF(OR(D676="",F676="",G676=""),"",IF(F676+MAX(0,10-G676)&lt;=1,D676,D676*(1+(F676+MAX(0,10-G676))/30)))</f>
        <v/>
      </c>
      <c r="J676" s="16" t="str">
        <f aca="false">IF(A676="","",IF(AND(C676="yes",N(G676)&gt;=7),N(E676),0))</f>
        <v/>
      </c>
      <c r="K676" s="17" t="str">
        <f aca="false">IF(A676="","",A676-WEEKDAY(A676,3))</f>
        <v/>
      </c>
      <c r="L676" s="11"/>
    </row>
    <row r="677" customFormat="false" ht="15" hidden="false" customHeight="false" outlineLevel="0" collapsed="false">
      <c r="A677" s="10"/>
      <c r="B677" s="11"/>
      <c r="C677" s="11"/>
      <c r="D677" s="11"/>
      <c r="E677" s="11"/>
      <c r="F677" s="11"/>
      <c r="G677" s="11"/>
      <c r="H677" s="15" t="str">
        <f aca="false">IF(OR(D677="",F677=""),"",IF(F677&lt;=1,D677,D677*(1+F677/30)))</f>
        <v/>
      </c>
      <c r="I677" s="15" t="str">
        <f aca="false">IF(OR(D677="",F677="",G677=""),"",IF(F677+MAX(0,10-G677)&lt;=1,D677,D677*(1+(F677+MAX(0,10-G677))/30)))</f>
        <v/>
      </c>
      <c r="J677" s="16" t="str">
        <f aca="false">IF(A677="","",IF(AND(C677="yes",N(G677)&gt;=7),N(E677),0))</f>
        <v/>
      </c>
      <c r="K677" s="17" t="str">
        <f aca="false">IF(A677="","",A677-WEEKDAY(A677,3))</f>
        <v/>
      </c>
      <c r="L677" s="11"/>
    </row>
    <row r="678" customFormat="false" ht="15" hidden="false" customHeight="false" outlineLevel="0" collapsed="false">
      <c r="A678" s="10"/>
      <c r="B678" s="11"/>
      <c r="C678" s="11"/>
      <c r="D678" s="11"/>
      <c r="E678" s="11"/>
      <c r="F678" s="11"/>
      <c r="G678" s="11"/>
      <c r="H678" s="15" t="str">
        <f aca="false">IF(OR(D678="",F678=""),"",IF(F678&lt;=1,D678,D678*(1+F678/30)))</f>
        <v/>
      </c>
      <c r="I678" s="15" t="str">
        <f aca="false">IF(OR(D678="",F678="",G678=""),"",IF(F678+MAX(0,10-G678)&lt;=1,D678,D678*(1+(F678+MAX(0,10-G678))/30)))</f>
        <v/>
      </c>
      <c r="J678" s="16" t="str">
        <f aca="false">IF(A678="","",IF(AND(C678="yes",N(G678)&gt;=7),N(E678),0))</f>
        <v/>
      </c>
      <c r="K678" s="17" t="str">
        <f aca="false">IF(A678="","",A678-WEEKDAY(A678,3))</f>
        <v/>
      </c>
      <c r="L678" s="11"/>
    </row>
    <row r="679" customFormat="false" ht="15" hidden="false" customHeight="false" outlineLevel="0" collapsed="false">
      <c r="A679" s="10"/>
      <c r="B679" s="11"/>
      <c r="C679" s="11"/>
      <c r="D679" s="11"/>
      <c r="E679" s="11"/>
      <c r="F679" s="11"/>
      <c r="G679" s="11"/>
      <c r="H679" s="15" t="str">
        <f aca="false">IF(OR(D679="",F679=""),"",IF(F679&lt;=1,D679,D679*(1+F679/30)))</f>
        <v/>
      </c>
      <c r="I679" s="15" t="str">
        <f aca="false">IF(OR(D679="",F679="",G679=""),"",IF(F679+MAX(0,10-G679)&lt;=1,D679,D679*(1+(F679+MAX(0,10-G679))/30)))</f>
        <v/>
      </c>
      <c r="J679" s="16" t="str">
        <f aca="false">IF(A679="","",IF(AND(C679="yes",N(G679)&gt;=7),N(E679),0))</f>
        <v/>
      </c>
      <c r="K679" s="17" t="str">
        <f aca="false">IF(A679="","",A679-WEEKDAY(A679,3))</f>
        <v/>
      </c>
      <c r="L679" s="11"/>
    </row>
    <row r="680" customFormat="false" ht="15" hidden="false" customHeight="false" outlineLevel="0" collapsed="false">
      <c r="A680" s="10"/>
      <c r="B680" s="11"/>
      <c r="C680" s="11"/>
      <c r="D680" s="11"/>
      <c r="E680" s="11"/>
      <c r="F680" s="11"/>
      <c r="G680" s="11"/>
      <c r="H680" s="15" t="str">
        <f aca="false">IF(OR(D680="",F680=""),"",IF(F680&lt;=1,D680,D680*(1+F680/30)))</f>
        <v/>
      </c>
      <c r="I680" s="15" t="str">
        <f aca="false">IF(OR(D680="",F680="",G680=""),"",IF(F680+MAX(0,10-G680)&lt;=1,D680,D680*(1+(F680+MAX(0,10-G680))/30)))</f>
        <v/>
      </c>
      <c r="J680" s="16" t="str">
        <f aca="false">IF(A680="","",IF(AND(C680="yes",N(G680)&gt;=7),N(E680),0))</f>
        <v/>
      </c>
      <c r="K680" s="17" t="str">
        <f aca="false">IF(A680="","",A680-WEEKDAY(A680,3))</f>
        <v/>
      </c>
      <c r="L680" s="11"/>
    </row>
    <row r="681" customFormat="false" ht="15" hidden="false" customHeight="false" outlineLevel="0" collapsed="false">
      <c r="A681" s="10"/>
      <c r="B681" s="11"/>
      <c r="C681" s="11"/>
      <c r="D681" s="11"/>
      <c r="E681" s="11"/>
      <c r="F681" s="11"/>
      <c r="G681" s="11"/>
      <c r="H681" s="15" t="str">
        <f aca="false">IF(OR(D681="",F681=""),"",IF(F681&lt;=1,D681,D681*(1+F681/30)))</f>
        <v/>
      </c>
      <c r="I681" s="15" t="str">
        <f aca="false">IF(OR(D681="",F681="",G681=""),"",IF(F681+MAX(0,10-G681)&lt;=1,D681,D681*(1+(F681+MAX(0,10-G681))/30)))</f>
        <v/>
      </c>
      <c r="J681" s="16" t="str">
        <f aca="false">IF(A681="","",IF(AND(C681="yes",N(G681)&gt;=7),N(E681),0))</f>
        <v/>
      </c>
      <c r="K681" s="17" t="str">
        <f aca="false">IF(A681="","",A681-WEEKDAY(A681,3))</f>
        <v/>
      </c>
      <c r="L681" s="11"/>
    </row>
    <row r="682" customFormat="false" ht="15" hidden="false" customHeight="false" outlineLevel="0" collapsed="false">
      <c r="A682" s="10"/>
      <c r="B682" s="11"/>
      <c r="C682" s="11"/>
      <c r="D682" s="11"/>
      <c r="E682" s="11"/>
      <c r="F682" s="11"/>
      <c r="G682" s="11"/>
      <c r="H682" s="15" t="str">
        <f aca="false">IF(OR(D682="",F682=""),"",IF(F682&lt;=1,D682,D682*(1+F682/30)))</f>
        <v/>
      </c>
      <c r="I682" s="15" t="str">
        <f aca="false">IF(OR(D682="",F682="",G682=""),"",IF(F682+MAX(0,10-G682)&lt;=1,D682,D682*(1+(F682+MAX(0,10-G682))/30)))</f>
        <v/>
      </c>
      <c r="J682" s="16" t="str">
        <f aca="false">IF(A682="","",IF(AND(C682="yes",N(G682)&gt;=7),N(E682),0))</f>
        <v/>
      </c>
      <c r="K682" s="17" t="str">
        <f aca="false">IF(A682="","",A682-WEEKDAY(A682,3))</f>
        <v/>
      </c>
      <c r="L682" s="11"/>
    </row>
    <row r="683" customFormat="false" ht="15" hidden="false" customHeight="false" outlineLevel="0" collapsed="false">
      <c r="A683" s="10"/>
      <c r="B683" s="11"/>
      <c r="C683" s="11"/>
      <c r="D683" s="11"/>
      <c r="E683" s="11"/>
      <c r="F683" s="11"/>
      <c r="G683" s="11"/>
      <c r="H683" s="15" t="str">
        <f aca="false">IF(OR(D683="",F683=""),"",IF(F683&lt;=1,D683,D683*(1+F683/30)))</f>
        <v/>
      </c>
      <c r="I683" s="15" t="str">
        <f aca="false">IF(OR(D683="",F683="",G683=""),"",IF(F683+MAX(0,10-G683)&lt;=1,D683,D683*(1+(F683+MAX(0,10-G683))/30)))</f>
        <v/>
      </c>
      <c r="J683" s="16" t="str">
        <f aca="false">IF(A683="","",IF(AND(C683="yes",N(G683)&gt;=7),N(E683),0))</f>
        <v/>
      </c>
      <c r="K683" s="17" t="str">
        <f aca="false">IF(A683="","",A683-WEEKDAY(A683,3))</f>
        <v/>
      </c>
      <c r="L683" s="11"/>
    </row>
    <row r="684" customFormat="false" ht="15" hidden="false" customHeight="false" outlineLevel="0" collapsed="false">
      <c r="A684" s="10"/>
      <c r="B684" s="11"/>
      <c r="C684" s="11"/>
      <c r="D684" s="11"/>
      <c r="E684" s="11"/>
      <c r="F684" s="11"/>
      <c r="G684" s="11"/>
      <c r="H684" s="15" t="str">
        <f aca="false">IF(OR(D684="",F684=""),"",IF(F684&lt;=1,D684,D684*(1+F684/30)))</f>
        <v/>
      </c>
      <c r="I684" s="15" t="str">
        <f aca="false">IF(OR(D684="",F684="",G684=""),"",IF(F684+MAX(0,10-G684)&lt;=1,D684,D684*(1+(F684+MAX(0,10-G684))/30)))</f>
        <v/>
      </c>
      <c r="J684" s="16" t="str">
        <f aca="false">IF(A684="","",IF(AND(C684="yes",N(G684)&gt;=7),N(E684),0))</f>
        <v/>
      </c>
      <c r="K684" s="17" t="str">
        <f aca="false">IF(A684="","",A684-WEEKDAY(A684,3))</f>
        <v/>
      </c>
      <c r="L684" s="11"/>
    </row>
    <row r="685" customFormat="false" ht="15" hidden="false" customHeight="false" outlineLevel="0" collapsed="false">
      <c r="A685" s="10"/>
      <c r="B685" s="11"/>
      <c r="C685" s="11"/>
      <c r="D685" s="11"/>
      <c r="E685" s="11"/>
      <c r="F685" s="11"/>
      <c r="G685" s="11"/>
      <c r="H685" s="15" t="str">
        <f aca="false">IF(OR(D685="",F685=""),"",IF(F685&lt;=1,D685,D685*(1+F685/30)))</f>
        <v/>
      </c>
      <c r="I685" s="15" t="str">
        <f aca="false">IF(OR(D685="",F685="",G685=""),"",IF(F685+MAX(0,10-G685)&lt;=1,D685,D685*(1+(F685+MAX(0,10-G685))/30)))</f>
        <v/>
      </c>
      <c r="J685" s="16" t="str">
        <f aca="false">IF(A685="","",IF(AND(C685="yes",N(G685)&gt;=7),N(E685),0))</f>
        <v/>
      </c>
      <c r="K685" s="17" t="str">
        <f aca="false">IF(A685="","",A685-WEEKDAY(A685,3))</f>
        <v/>
      </c>
      <c r="L685" s="11"/>
    </row>
    <row r="686" customFormat="false" ht="15" hidden="false" customHeight="false" outlineLevel="0" collapsed="false">
      <c r="A686" s="10"/>
      <c r="B686" s="11"/>
      <c r="C686" s="11"/>
      <c r="D686" s="11"/>
      <c r="E686" s="11"/>
      <c r="F686" s="11"/>
      <c r="G686" s="11"/>
      <c r="H686" s="15" t="str">
        <f aca="false">IF(OR(D686="",F686=""),"",IF(F686&lt;=1,D686,D686*(1+F686/30)))</f>
        <v/>
      </c>
      <c r="I686" s="15" t="str">
        <f aca="false">IF(OR(D686="",F686="",G686=""),"",IF(F686+MAX(0,10-G686)&lt;=1,D686,D686*(1+(F686+MAX(0,10-G686))/30)))</f>
        <v/>
      </c>
      <c r="J686" s="16" t="str">
        <f aca="false">IF(A686="","",IF(AND(C686="yes",N(G686)&gt;=7),N(E686),0))</f>
        <v/>
      </c>
      <c r="K686" s="17" t="str">
        <f aca="false">IF(A686="","",A686-WEEKDAY(A686,3))</f>
        <v/>
      </c>
      <c r="L686" s="11"/>
    </row>
    <row r="687" customFormat="false" ht="15" hidden="false" customHeight="false" outlineLevel="0" collapsed="false">
      <c r="A687" s="10"/>
      <c r="B687" s="11"/>
      <c r="C687" s="11"/>
      <c r="D687" s="11"/>
      <c r="E687" s="11"/>
      <c r="F687" s="11"/>
      <c r="G687" s="11"/>
      <c r="H687" s="15" t="str">
        <f aca="false">IF(OR(D687="",F687=""),"",IF(F687&lt;=1,D687,D687*(1+F687/30)))</f>
        <v/>
      </c>
      <c r="I687" s="15" t="str">
        <f aca="false">IF(OR(D687="",F687="",G687=""),"",IF(F687+MAX(0,10-G687)&lt;=1,D687,D687*(1+(F687+MAX(0,10-G687))/30)))</f>
        <v/>
      </c>
      <c r="J687" s="16" t="str">
        <f aca="false">IF(A687="","",IF(AND(C687="yes",N(G687)&gt;=7),N(E687),0))</f>
        <v/>
      </c>
      <c r="K687" s="17" t="str">
        <f aca="false">IF(A687="","",A687-WEEKDAY(A687,3))</f>
        <v/>
      </c>
      <c r="L687" s="11"/>
    </row>
    <row r="688" customFormat="false" ht="15" hidden="false" customHeight="false" outlineLevel="0" collapsed="false">
      <c r="A688" s="10"/>
      <c r="B688" s="11"/>
      <c r="C688" s="11"/>
      <c r="D688" s="11"/>
      <c r="E688" s="11"/>
      <c r="F688" s="11"/>
      <c r="G688" s="11"/>
      <c r="H688" s="15" t="str">
        <f aca="false">IF(OR(D688="",F688=""),"",IF(F688&lt;=1,D688,D688*(1+F688/30)))</f>
        <v/>
      </c>
      <c r="I688" s="15" t="str">
        <f aca="false">IF(OR(D688="",F688="",G688=""),"",IF(F688+MAX(0,10-G688)&lt;=1,D688,D688*(1+(F688+MAX(0,10-G688))/30)))</f>
        <v/>
      </c>
      <c r="J688" s="16" t="str">
        <f aca="false">IF(A688="","",IF(AND(C688="yes",N(G688)&gt;=7),N(E688),0))</f>
        <v/>
      </c>
      <c r="K688" s="17" t="str">
        <f aca="false">IF(A688="","",A688-WEEKDAY(A688,3))</f>
        <v/>
      </c>
      <c r="L688" s="11"/>
    </row>
    <row r="689" customFormat="false" ht="15" hidden="false" customHeight="false" outlineLevel="0" collapsed="false">
      <c r="A689" s="10"/>
      <c r="B689" s="11"/>
      <c r="C689" s="11"/>
      <c r="D689" s="11"/>
      <c r="E689" s="11"/>
      <c r="F689" s="11"/>
      <c r="G689" s="11"/>
      <c r="H689" s="15" t="str">
        <f aca="false">IF(OR(D689="",F689=""),"",IF(F689&lt;=1,D689,D689*(1+F689/30)))</f>
        <v/>
      </c>
      <c r="I689" s="15" t="str">
        <f aca="false">IF(OR(D689="",F689="",G689=""),"",IF(F689+MAX(0,10-G689)&lt;=1,D689,D689*(1+(F689+MAX(0,10-G689))/30)))</f>
        <v/>
      </c>
      <c r="J689" s="16" t="str">
        <f aca="false">IF(A689="","",IF(AND(C689="yes",N(G689)&gt;=7),N(E689),0))</f>
        <v/>
      </c>
      <c r="K689" s="17" t="str">
        <f aca="false">IF(A689="","",A689-WEEKDAY(A689,3))</f>
        <v/>
      </c>
      <c r="L689" s="11"/>
    </row>
    <row r="690" customFormat="false" ht="15" hidden="false" customHeight="false" outlineLevel="0" collapsed="false">
      <c r="A690" s="10"/>
      <c r="B690" s="11"/>
      <c r="C690" s="11"/>
      <c r="D690" s="11"/>
      <c r="E690" s="11"/>
      <c r="F690" s="11"/>
      <c r="G690" s="11"/>
      <c r="H690" s="15" t="str">
        <f aca="false">IF(OR(D690="",F690=""),"",IF(F690&lt;=1,D690,D690*(1+F690/30)))</f>
        <v/>
      </c>
      <c r="I690" s="15" t="str">
        <f aca="false">IF(OR(D690="",F690="",G690=""),"",IF(F690+MAX(0,10-G690)&lt;=1,D690,D690*(1+(F690+MAX(0,10-G690))/30)))</f>
        <v/>
      </c>
      <c r="J690" s="16" t="str">
        <f aca="false">IF(A690="","",IF(AND(C690="yes",N(G690)&gt;=7),N(E690),0))</f>
        <v/>
      </c>
      <c r="K690" s="17" t="str">
        <f aca="false">IF(A690="","",A690-WEEKDAY(A690,3))</f>
        <v/>
      </c>
      <c r="L690" s="11"/>
    </row>
    <row r="691" customFormat="false" ht="15" hidden="false" customHeight="false" outlineLevel="0" collapsed="false">
      <c r="A691" s="10"/>
      <c r="B691" s="11"/>
      <c r="C691" s="11"/>
      <c r="D691" s="11"/>
      <c r="E691" s="11"/>
      <c r="F691" s="11"/>
      <c r="G691" s="11"/>
      <c r="H691" s="15" t="str">
        <f aca="false">IF(OR(D691="",F691=""),"",IF(F691&lt;=1,D691,D691*(1+F691/30)))</f>
        <v/>
      </c>
      <c r="I691" s="15" t="str">
        <f aca="false">IF(OR(D691="",F691="",G691=""),"",IF(F691+MAX(0,10-G691)&lt;=1,D691,D691*(1+(F691+MAX(0,10-G691))/30)))</f>
        <v/>
      </c>
      <c r="J691" s="16" t="str">
        <f aca="false">IF(A691="","",IF(AND(C691="yes",N(G691)&gt;=7),N(E691),0))</f>
        <v/>
      </c>
      <c r="K691" s="17" t="str">
        <f aca="false">IF(A691="","",A691-WEEKDAY(A691,3))</f>
        <v/>
      </c>
      <c r="L691" s="11"/>
    </row>
    <row r="692" customFormat="false" ht="15" hidden="false" customHeight="false" outlineLevel="0" collapsed="false">
      <c r="A692" s="10"/>
      <c r="B692" s="11"/>
      <c r="C692" s="11"/>
      <c r="D692" s="11"/>
      <c r="E692" s="11"/>
      <c r="F692" s="11"/>
      <c r="G692" s="11"/>
      <c r="H692" s="15" t="str">
        <f aca="false">IF(OR(D692="",F692=""),"",IF(F692&lt;=1,D692,D692*(1+F692/30)))</f>
        <v/>
      </c>
      <c r="I692" s="15" t="str">
        <f aca="false">IF(OR(D692="",F692="",G692=""),"",IF(F692+MAX(0,10-G692)&lt;=1,D692,D692*(1+(F692+MAX(0,10-G692))/30)))</f>
        <v/>
      </c>
      <c r="J692" s="16" t="str">
        <f aca="false">IF(A692="","",IF(AND(C692="yes",N(G692)&gt;=7),N(E692),0))</f>
        <v/>
      </c>
      <c r="K692" s="17" t="str">
        <f aca="false">IF(A692="","",A692-WEEKDAY(A692,3))</f>
        <v/>
      </c>
      <c r="L692" s="11"/>
    </row>
    <row r="693" customFormat="false" ht="15" hidden="false" customHeight="false" outlineLevel="0" collapsed="false">
      <c r="A693" s="10"/>
      <c r="B693" s="11"/>
      <c r="C693" s="11"/>
      <c r="D693" s="11"/>
      <c r="E693" s="11"/>
      <c r="F693" s="11"/>
      <c r="G693" s="11"/>
      <c r="H693" s="15" t="str">
        <f aca="false">IF(OR(D693="",F693=""),"",IF(F693&lt;=1,D693,D693*(1+F693/30)))</f>
        <v/>
      </c>
      <c r="I693" s="15" t="str">
        <f aca="false">IF(OR(D693="",F693="",G693=""),"",IF(F693+MAX(0,10-G693)&lt;=1,D693,D693*(1+(F693+MAX(0,10-G693))/30)))</f>
        <v/>
      </c>
      <c r="J693" s="16" t="str">
        <f aca="false">IF(A693="","",IF(AND(C693="yes",N(G693)&gt;=7),N(E693),0))</f>
        <v/>
      </c>
      <c r="K693" s="17" t="str">
        <f aca="false">IF(A693="","",A693-WEEKDAY(A693,3))</f>
        <v/>
      </c>
      <c r="L693" s="11"/>
    </row>
    <row r="694" customFormat="false" ht="15" hidden="false" customHeight="false" outlineLevel="0" collapsed="false">
      <c r="A694" s="10"/>
      <c r="B694" s="11"/>
      <c r="C694" s="11"/>
      <c r="D694" s="11"/>
      <c r="E694" s="11"/>
      <c r="F694" s="11"/>
      <c r="G694" s="11"/>
      <c r="H694" s="15" t="str">
        <f aca="false">IF(OR(D694="",F694=""),"",IF(F694&lt;=1,D694,D694*(1+F694/30)))</f>
        <v/>
      </c>
      <c r="I694" s="15" t="str">
        <f aca="false">IF(OR(D694="",F694="",G694=""),"",IF(F694+MAX(0,10-G694)&lt;=1,D694,D694*(1+(F694+MAX(0,10-G694))/30)))</f>
        <v/>
      </c>
      <c r="J694" s="16" t="str">
        <f aca="false">IF(A694="","",IF(AND(C694="yes",N(G694)&gt;=7),N(E694),0))</f>
        <v/>
      </c>
      <c r="K694" s="17" t="str">
        <f aca="false">IF(A694="","",A694-WEEKDAY(A694,3))</f>
        <v/>
      </c>
      <c r="L694" s="11"/>
    </row>
    <row r="695" customFormat="false" ht="15" hidden="false" customHeight="false" outlineLevel="0" collapsed="false">
      <c r="A695" s="10"/>
      <c r="B695" s="11"/>
      <c r="C695" s="11"/>
      <c r="D695" s="11"/>
      <c r="E695" s="11"/>
      <c r="F695" s="11"/>
      <c r="G695" s="11"/>
      <c r="H695" s="15" t="str">
        <f aca="false">IF(OR(D695="",F695=""),"",IF(F695&lt;=1,D695,D695*(1+F695/30)))</f>
        <v/>
      </c>
      <c r="I695" s="15" t="str">
        <f aca="false">IF(OR(D695="",F695="",G695=""),"",IF(F695+MAX(0,10-G695)&lt;=1,D695,D695*(1+(F695+MAX(0,10-G695))/30)))</f>
        <v/>
      </c>
      <c r="J695" s="16" t="str">
        <f aca="false">IF(A695="","",IF(AND(C695="yes",N(G695)&gt;=7),N(E695),0))</f>
        <v/>
      </c>
      <c r="K695" s="17" t="str">
        <f aca="false">IF(A695="","",A695-WEEKDAY(A695,3))</f>
        <v/>
      </c>
      <c r="L695" s="11"/>
    </row>
    <row r="696" customFormat="false" ht="15" hidden="false" customHeight="false" outlineLevel="0" collapsed="false">
      <c r="A696" s="10"/>
      <c r="B696" s="11"/>
      <c r="C696" s="11"/>
      <c r="D696" s="11"/>
      <c r="E696" s="11"/>
      <c r="F696" s="11"/>
      <c r="G696" s="11"/>
      <c r="H696" s="15" t="str">
        <f aca="false">IF(OR(D696="",F696=""),"",IF(F696&lt;=1,D696,D696*(1+F696/30)))</f>
        <v/>
      </c>
      <c r="I696" s="15" t="str">
        <f aca="false">IF(OR(D696="",F696="",G696=""),"",IF(F696+MAX(0,10-G696)&lt;=1,D696,D696*(1+(F696+MAX(0,10-G696))/30)))</f>
        <v/>
      </c>
      <c r="J696" s="16" t="str">
        <f aca="false">IF(A696="","",IF(AND(C696="yes",N(G696)&gt;=7),N(E696),0))</f>
        <v/>
      </c>
      <c r="K696" s="17" t="str">
        <f aca="false">IF(A696="","",A696-WEEKDAY(A696,3))</f>
        <v/>
      </c>
      <c r="L696" s="11"/>
    </row>
    <row r="697" customFormat="false" ht="15" hidden="false" customHeight="false" outlineLevel="0" collapsed="false">
      <c r="A697" s="10"/>
      <c r="B697" s="11"/>
      <c r="C697" s="11"/>
      <c r="D697" s="11"/>
      <c r="E697" s="11"/>
      <c r="F697" s="11"/>
      <c r="G697" s="11"/>
      <c r="H697" s="15" t="str">
        <f aca="false">IF(OR(D697="",F697=""),"",IF(F697&lt;=1,D697,D697*(1+F697/30)))</f>
        <v/>
      </c>
      <c r="I697" s="15" t="str">
        <f aca="false">IF(OR(D697="",F697="",G697=""),"",IF(F697+MAX(0,10-G697)&lt;=1,D697,D697*(1+(F697+MAX(0,10-G697))/30)))</f>
        <v/>
      </c>
      <c r="J697" s="16" t="str">
        <f aca="false">IF(A697="","",IF(AND(C697="yes",N(G697)&gt;=7),N(E697),0))</f>
        <v/>
      </c>
      <c r="K697" s="17" t="str">
        <f aca="false">IF(A697="","",A697-WEEKDAY(A697,3))</f>
        <v/>
      </c>
      <c r="L697" s="11"/>
    </row>
    <row r="698" customFormat="false" ht="15" hidden="false" customHeight="false" outlineLevel="0" collapsed="false">
      <c r="A698" s="10"/>
      <c r="B698" s="11"/>
      <c r="C698" s="11"/>
      <c r="D698" s="11"/>
      <c r="E698" s="11"/>
      <c r="F698" s="11"/>
      <c r="G698" s="11"/>
      <c r="H698" s="15" t="str">
        <f aca="false">IF(OR(D698="",F698=""),"",IF(F698&lt;=1,D698,D698*(1+F698/30)))</f>
        <v/>
      </c>
      <c r="I698" s="15" t="str">
        <f aca="false">IF(OR(D698="",F698="",G698=""),"",IF(F698+MAX(0,10-G698)&lt;=1,D698,D698*(1+(F698+MAX(0,10-G698))/30)))</f>
        <v/>
      </c>
      <c r="J698" s="16" t="str">
        <f aca="false">IF(A698="","",IF(AND(C698="yes",N(G698)&gt;=7),N(E698),0))</f>
        <v/>
      </c>
      <c r="K698" s="17" t="str">
        <f aca="false">IF(A698="","",A698-WEEKDAY(A698,3))</f>
        <v/>
      </c>
      <c r="L698" s="11"/>
    </row>
    <row r="699" customFormat="false" ht="15" hidden="false" customHeight="false" outlineLevel="0" collapsed="false">
      <c r="A699" s="10"/>
      <c r="B699" s="11"/>
      <c r="C699" s="11"/>
      <c r="D699" s="11"/>
      <c r="E699" s="11"/>
      <c r="F699" s="11"/>
      <c r="G699" s="11"/>
      <c r="H699" s="15" t="str">
        <f aca="false">IF(OR(D699="",F699=""),"",IF(F699&lt;=1,D699,D699*(1+F699/30)))</f>
        <v/>
      </c>
      <c r="I699" s="15" t="str">
        <f aca="false">IF(OR(D699="",F699="",G699=""),"",IF(F699+MAX(0,10-G699)&lt;=1,D699,D699*(1+(F699+MAX(0,10-G699))/30)))</f>
        <v/>
      </c>
      <c r="J699" s="16" t="str">
        <f aca="false">IF(A699="","",IF(AND(C699="yes",N(G699)&gt;=7),N(E699),0))</f>
        <v/>
      </c>
      <c r="K699" s="17" t="str">
        <f aca="false">IF(A699="","",A699-WEEKDAY(A699,3))</f>
        <v/>
      </c>
      <c r="L699" s="11"/>
    </row>
    <row r="700" customFormat="false" ht="15" hidden="false" customHeight="false" outlineLevel="0" collapsed="false">
      <c r="A700" s="10"/>
      <c r="B700" s="11"/>
      <c r="C700" s="11"/>
      <c r="D700" s="11"/>
      <c r="E700" s="11"/>
      <c r="F700" s="11"/>
      <c r="G700" s="11"/>
      <c r="H700" s="15" t="str">
        <f aca="false">IF(OR(D700="",F700=""),"",IF(F700&lt;=1,D700,D700*(1+F700/30)))</f>
        <v/>
      </c>
      <c r="I700" s="15" t="str">
        <f aca="false">IF(OR(D700="",F700="",G700=""),"",IF(F700+MAX(0,10-G700)&lt;=1,D700,D700*(1+(F700+MAX(0,10-G700))/30)))</f>
        <v/>
      </c>
      <c r="J700" s="16" t="str">
        <f aca="false">IF(A700="","",IF(AND(C700="yes",N(G700)&gt;=7),N(E700),0))</f>
        <v/>
      </c>
      <c r="K700" s="17" t="str">
        <f aca="false">IF(A700="","",A700-WEEKDAY(A700,3))</f>
        <v/>
      </c>
      <c r="L700" s="11"/>
    </row>
    <row r="701" customFormat="false" ht="15" hidden="false" customHeight="false" outlineLevel="0" collapsed="false">
      <c r="A701" s="10"/>
      <c r="B701" s="11"/>
      <c r="C701" s="11"/>
      <c r="D701" s="11"/>
      <c r="E701" s="11"/>
      <c r="F701" s="11"/>
      <c r="G701" s="11"/>
      <c r="H701" s="15" t="str">
        <f aca="false">IF(OR(D701="",F701=""),"",IF(F701&lt;=1,D701,D701*(1+F701/30)))</f>
        <v/>
      </c>
      <c r="I701" s="15" t="str">
        <f aca="false">IF(OR(D701="",F701="",G701=""),"",IF(F701+MAX(0,10-G701)&lt;=1,D701,D701*(1+(F701+MAX(0,10-G701))/30)))</f>
        <v/>
      </c>
      <c r="J701" s="16" t="str">
        <f aca="false">IF(A701="","",IF(AND(C701="yes",N(G701)&gt;=7),N(E701),0))</f>
        <v/>
      </c>
      <c r="K701" s="17" t="str">
        <f aca="false">IF(A701="","",A701-WEEKDAY(A701,3))</f>
        <v/>
      </c>
      <c r="L701" s="11"/>
    </row>
    <row r="702" customFormat="false" ht="15" hidden="false" customHeight="false" outlineLevel="0" collapsed="false">
      <c r="A702" s="10"/>
      <c r="B702" s="11"/>
      <c r="C702" s="11"/>
      <c r="D702" s="11"/>
      <c r="E702" s="11"/>
      <c r="F702" s="11"/>
      <c r="G702" s="11"/>
      <c r="H702" s="15" t="str">
        <f aca="false">IF(OR(D702="",F702=""),"",IF(F702&lt;=1,D702,D702*(1+F702/30)))</f>
        <v/>
      </c>
      <c r="I702" s="15" t="str">
        <f aca="false">IF(OR(D702="",F702="",G702=""),"",IF(F702+MAX(0,10-G702)&lt;=1,D702,D702*(1+(F702+MAX(0,10-G702))/30)))</f>
        <v/>
      </c>
      <c r="J702" s="16" t="str">
        <f aca="false">IF(A702="","",IF(AND(C702="yes",N(G702)&gt;=7),N(E702),0))</f>
        <v/>
      </c>
      <c r="K702" s="17" t="str">
        <f aca="false">IF(A702="","",A702-WEEKDAY(A702,3))</f>
        <v/>
      </c>
      <c r="L702" s="11"/>
    </row>
    <row r="703" customFormat="false" ht="15" hidden="false" customHeight="false" outlineLevel="0" collapsed="false">
      <c r="A703" s="10"/>
      <c r="B703" s="11"/>
      <c r="C703" s="11"/>
      <c r="D703" s="11"/>
      <c r="E703" s="11"/>
      <c r="F703" s="11"/>
      <c r="G703" s="11"/>
      <c r="H703" s="15" t="str">
        <f aca="false">IF(OR(D703="",F703=""),"",IF(F703&lt;=1,D703,D703*(1+F703/30)))</f>
        <v/>
      </c>
      <c r="I703" s="15" t="str">
        <f aca="false">IF(OR(D703="",F703="",G703=""),"",IF(F703+MAX(0,10-G703)&lt;=1,D703,D703*(1+(F703+MAX(0,10-G703))/30)))</f>
        <v/>
      </c>
      <c r="J703" s="16" t="str">
        <f aca="false">IF(A703="","",IF(AND(C703="yes",N(G703)&gt;=7),N(E703),0))</f>
        <v/>
      </c>
      <c r="K703" s="17" t="str">
        <f aca="false">IF(A703="","",A703-WEEKDAY(A703,3))</f>
        <v/>
      </c>
      <c r="L703" s="11"/>
    </row>
    <row r="704" customFormat="false" ht="15" hidden="false" customHeight="false" outlineLevel="0" collapsed="false">
      <c r="A704" s="10"/>
      <c r="B704" s="11"/>
      <c r="C704" s="11"/>
      <c r="D704" s="11"/>
      <c r="E704" s="11"/>
      <c r="F704" s="11"/>
      <c r="G704" s="11"/>
      <c r="H704" s="15" t="str">
        <f aca="false">IF(OR(D704="",F704=""),"",IF(F704&lt;=1,D704,D704*(1+F704/30)))</f>
        <v/>
      </c>
      <c r="I704" s="15" t="str">
        <f aca="false">IF(OR(D704="",F704="",G704=""),"",IF(F704+MAX(0,10-G704)&lt;=1,D704,D704*(1+(F704+MAX(0,10-G704))/30)))</f>
        <v/>
      </c>
      <c r="J704" s="16" t="str">
        <f aca="false">IF(A704="","",IF(AND(C704="yes",N(G704)&gt;=7),N(E704),0))</f>
        <v/>
      </c>
      <c r="K704" s="17" t="str">
        <f aca="false">IF(A704="","",A704-WEEKDAY(A704,3))</f>
        <v/>
      </c>
      <c r="L704" s="11"/>
    </row>
    <row r="705" customFormat="false" ht="15" hidden="false" customHeight="false" outlineLevel="0" collapsed="false">
      <c r="A705" s="10"/>
      <c r="B705" s="11"/>
      <c r="C705" s="11"/>
      <c r="D705" s="11"/>
      <c r="E705" s="11"/>
      <c r="F705" s="11"/>
      <c r="G705" s="11"/>
      <c r="H705" s="15" t="str">
        <f aca="false">IF(OR(D705="",F705=""),"",IF(F705&lt;=1,D705,D705*(1+F705/30)))</f>
        <v/>
      </c>
      <c r="I705" s="15" t="str">
        <f aca="false">IF(OR(D705="",F705="",G705=""),"",IF(F705+MAX(0,10-G705)&lt;=1,D705,D705*(1+(F705+MAX(0,10-G705))/30)))</f>
        <v/>
      </c>
      <c r="J705" s="16" t="str">
        <f aca="false">IF(A705="","",IF(AND(C705="yes",N(G705)&gt;=7),N(E705),0))</f>
        <v/>
      </c>
      <c r="K705" s="17" t="str">
        <f aca="false">IF(A705="","",A705-WEEKDAY(A705,3))</f>
        <v/>
      </c>
      <c r="L705" s="11"/>
    </row>
    <row r="706" customFormat="false" ht="15" hidden="false" customHeight="false" outlineLevel="0" collapsed="false">
      <c r="A706" s="10"/>
      <c r="B706" s="11"/>
      <c r="C706" s="11"/>
      <c r="D706" s="11"/>
      <c r="E706" s="11"/>
      <c r="F706" s="11"/>
      <c r="G706" s="11"/>
      <c r="H706" s="15" t="str">
        <f aca="false">IF(OR(D706="",F706=""),"",IF(F706&lt;=1,D706,D706*(1+F706/30)))</f>
        <v/>
      </c>
      <c r="I706" s="15" t="str">
        <f aca="false">IF(OR(D706="",F706="",G706=""),"",IF(F706+MAX(0,10-G706)&lt;=1,D706,D706*(1+(F706+MAX(0,10-G706))/30)))</f>
        <v/>
      </c>
      <c r="J706" s="16" t="str">
        <f aca="false">IF(A706="","",IF(AND(C706="yes",N(G706)&gt;=7),N(E706),0))</f>
        <v/>
      </c>
      <c r="K706" s="17" t="str">
        <f aca="false">IF(A706="","",A706-WEEKDAY(A706,3))</f>
        <v/>
      </c>
      <c r="L706" s="11"/>
    </row>
    <row r="707" customFormat="false" ht="15" hidden="false" customHeight="false" outlineLevel="0" collapsed="false">
      <c r="A707" s="10"/>
      <c r="B707" s="11"/>
      <c r="C707" s="11"/>
      <c r="D707" s="11"/>
      <c r="E707" s="11"/>
      <c r="F707" s="11"/>
      <c r="G707" s="11"/>
      <c r="H707" s="15" t="str">
        <f aca="false">IF(OR(D707="",F707=""),"",IF(F707&lt;=1,D707,D707*(1+F707/30)))</f>
        <v/>
      </c>
      <c r="I707" s="15" t="str">
        <f aca="false">IF(OR(D707="",F707="",G707=""),"",IF(F707+MAX(0,10-G707)&lt;=1,D707,D707*(1+(F707+MAX(0,10-G707))/30)))</f>
        <v/>
      </c>
      <c r="J707" s="16" t="str">
        <f aca="false">IF(A707="","",IF(AND(C707="yes",N(G707)&gt;=7),N(E707),0))</f>
        <v/>
      </c>
      <c r="K707" s="17" t="str">
        <f aca="false">IF(A707="","",A707-WEEKDAY(A707,3))</f>
        <v/>
      </c>
      <c r="L707" s="11"/>
    </row>
    <row r="708" customFormat="false" ht="15" hidden="false" customHeight="false" outlineLevel="0" collapsed="false">
      <c r="A708" s="10"/>
      <c r="B708" s="11"/>
      <c r="C708" s="11"/>
      <c r="D708" s="11"/>
      <c r="E708" s="11"/>
      <c r="F708" s="11"/>
      <c r="G708" s="11"/>
      <c r="H708" s="15" t="str">
        <f aca="false">IF(OR(D708="",F708=""),"",IF(F708&lt;=1,D708,D708*(1+F708/30)))</f>
        <v/>
      </c>
      <c r="I708" s="15" t="str">
        <f aca="false">IF(OR(D708="",F708="",G708=""),"",IF(F708+MAX(0,10-G708)&lt;=1,D708,D708*(1+(F708+MAX(0,10-G708))/30)))</f>
        <v/>
      </c>
      <c r="J708" s="16" t="str">
        <f aca="false">IF(A708="","",IF(AND(C708="yes",N(G708)&gt;=7),N(E708),0))</f>
        <v/>
      </c>
      <c r="K708" s="17" t="str">
        <f aca="false">IF(A708="","",A708-WEEKDAY(A708,3))</f>
        <v/>
      </c>
      <c r="L708" s="11"/>
    </row>
    <row r="709" customFormat="false" ht="15" hidden="false" customHeight="false" outlineLevel="0" collapsed="false">
      <c r="A709" s="10"/>
      <c r="B709" s="11"/>
      <c r="C709" s="11"/>
      <c r="D709" s="11"/>
      <c r="E709" s="11"/>
      <c r="F709" s="11"/>
      <c r="G709" s="11"/>
      <c r="H709" s="15" t="str">
        <f aca="false">IF(OR(D709="",F709=""),"",IF(F709&lt;=1,D709,D709*(1+F709/30)))</f>
        <v/>
      </c>
      <c r="I709" s="15" t="str">
        <f aca="false">IF(OR(D709="",F709="",G709=""),"",IF(F709+MAX(0,10-G709)&lt;=1,D709,D709*(1+(F709+MAX(0,10-G709))/30)))</f>
        <v/>
      </c>
      <c r="J709" s="16" t="str">
        <f aca="false">IF(A709="","",IF(AND(C709="yes",N(G709)&gt;=7),N(E709),0))</f>
        <v/>
      </c>
      <c r="K709" s="17" t="str">
        <f aca="false">IF(A709="","",A709-WEEKDAY(A709,3))</f>
        <v/>
      </c>
      <c r="L709" s="11"/>
    </row>
    <row r="710" customFormat="false" ht="15" hidden="false" customHeight="false" outlineLevel="0" collapsed="false">
      <c r="A710" s="10"/>
      <c r="B710" s="11"/>
      <c r="C710" s="11"/>
      <c r="D710" s="11"/>
      <c r="E710" s="11"/>
      <c r="F710" s="11"/>
      <c r="G710" s="11"/>
      <c r="H710" s="15" t="str">
        <f aca="false">IF(OR(D710="",F710=""),"",IF(F710&lt;=1,D710,D710*(1+F710/30)))</f>
        <v/>
      </c>
      <c r="I710" s="15" t="str">
        <f aca="false">IF(OR(D710="",F710="",G710=""),"",IF(F710+MAX(0,10-G710)&lt;=1,D710,D710*(1+(F710+MAX(0,10-G710))/30)))</f>
        <v/>
      </c>
      <c r="J710" s="16" t="str">
        <f aca="false">IF(A710="","",IF(AND(C710="yes",N(G710)&gt;=7),N(E710),0))</f>
        <v/>
      </c>
      <c r="K710" s="17" t="str">
        <f aca="false">IF(A710="","",A710-WEEKDAY(A710,3))</f>
        <v/>
      </c>
      <c r="L710" s="11"/>
    </row>
    <row r="711" customFormat="false" ht="15" hidden="false" customHeight="false" outlineLevel="0" collapsed="false">
      <c r="A711" s="10"/>
      <c r="B711" s="11"/>
      <c r="C711" s="11"/>
      <c r="D711" s="11"/>
      <c r="E711" s="11"/>
      <c r="F711" s="11"/>
      <c r="G711" s="11"/>
      <c r="H711" s="15" t="str">
        <f aca="false">IF(OR(D711="",F711=""),"",IF(F711&lt;=1,D711,D711*(1+F711/30)))</f>
        <v/>
      </c>
      <c r="I711" s="15" t="str">
        <f aca="false">IF(OR(D711="",F711="",G711=""),"",IF(F711+MAX(0,10-G711)&lt;=1,D711,D711*(1+(F711+MAX(0,10-G711))/30)))</f>
        <v/>
      </c>
      <c r="J711" s="16" t="str">
        <f aca="false">IF(A711="","",IF(AND(C711="yes",N(G711)&gt;=7),N(E711),0))</f>
        <v/>
      </c>
      <c r="K711" s="17" t="str">
        <f aca="false">IF(A711="","",A711-WEEKDAY(A711,3))</f>
        <v/>
      </c>
      <c r="L711" s="11"/>
    </row>
    <row r="712" customFormat="false" ht="15" hidden="false" customHeight="false" outlineLevel="0" collapsed="false">
      <c r="A712" s="10"/>
      <c r="B712" s="11"/>
      <c r="C712" s="11"/>
      <c r="D712" s="11"/>
      <c r="E712" s="11"/>
      <c r="F712" s="11"/>
      <c r="G712" s="11"/>
      <c r="H712" s="15" t="str">
        <f aca="false">IF(OR(D712="",F712=""),"",IF(F712&lt;=1,D712,D712*(1+F712/30)))</f>
        <v/>
      </c>
      <c r="I712" s="15" t="str">
        <f aca="false">IF(OR(D712="",F712="",G712=""),"",IF(F712+MAX(0,10-G712)&lt;=1,D712,D712*(1+(F712+MAX(0,10-G712))/30)))</f>
        <v/>
      </c>
      <c r="J712" s="16" t="str">
        <f aca="false">IF(A712="","",IF(AND(C712="yes",N(G712)&gt;=7),N(E712),0))</f>
        <v/>
      </c>
      <c r="K712" s="17" t="str">
        <f aca="false">IF(A712="","",A712-WEEKDAY(A712,3))</f>
        <v/>
      </c>
      <c r="L712" s="11"/>
    </row>
    <row r="713" customFormat="false" ht="15" hidden="false" customHeight="false" outlineLevel="0" collapsed="false">
      <c r="A713" s="10"/>
      <c r="B713" s="11"/>
      <c r="C713" s="11"/>
      <c r="D713" s="11"/>
      <c r="E713" s="11"/>
      <c r="F713" s="11"/>
      <c r="G713" s="11"/>
      <c r="H713" s="15" t="str">
        <f aca="false">IF(OR(D713="",F713=""),"",IF(F713&lt;=1,D713,D713*(1+F713/30)))</f>
        <v/>
      </c>
      <c r="I713" s="15" t="str">
        <f aca="false">IF(OR(D713="",F713="",G713=""),"",IF(F713+MAX(0,10-G713)&lt;=1,D713,D713*(1+(F713+MAX(0,10-G713))/30)))</f>
        <v/>
      </c>
      <c r="J713" s="16" t="str">
        <f aca="false">IF(A713="","",IF(AND(C713="yes",N(G713)&gt;=7),N(E713),0))</f>
        <v/>
      </c>
      <c r="K713" s="17" t="str">
        <f aca="false">IF(A713="","",A713-WEEKDAY(A713,3))</f>
        <v/>
      </c>
      <c r="L713" s="11"/>
    </row>
    <row r="714" customFormat="false" ht="15" hidden="false" customHeight="false" outlineLevel="0" collapsed="false">
      <c r="A714" s="10"/>
      <c r="B714" s="11"/>
      <c r="C714" s="11"/>
      <c r="D714" s="11"/>
      <c r="E714" s="11"/>
      <c r="F714" s="11"/>
      <c r="G714" s="11"/>
      <c r="H714" s="15" t="str">
        <f aca="false">IF(OR(D714="",F714=""),"",IF(F714&lt;=1,D714,D714*(1+F714/30)))</f>
        <v/>
      </c>
      <c r="I714" s="15" t="str">
        <f aca="false">IF(OR(D714="",F714="",G714=""),"",IF(F714+MAX(0,10-G714)&lt;=1,D714,D714*(1+(F714+MAX(0,10-G714))/30)))</f>
        <v/>
      </c>
      <c r="J714" s="16" t="str">
        <f aca="false">IF(A714="","",IF(AND(C714="yes",N(G714)&gt;=7),N(E714),0))</f>
        <v/>
      </c>
      <c r="K714" s="17" t="str">
        <f aca="false">IF(A714="","",A714-WEEKDAY(A714,3))</f>
        <v/>
      </c>
      <c r="L714" s="11"/>
    </row>
    <row r="715" customFormat="false" ht="15" hidden="false" customHeight="false" outlineLevel="0" collapsed="false">
      <c r="A715" s="10"/>
      <c r="B715" s="11"/>
      <c r="C715" s="11"/>
      <c r="D715" s="11"/>
      <c r="E715" s="11"/>
      <c r="F715" s="11"/>
      <c r="G715" s="11"/>
      <c r="H715" s="15" t="str">
        <f aca="false">IF(OR(D715="",F715=""),"",IF(F715&lt;=1,D715,D715*(1+F715/30)))</f>
        <v/>
      </c>
      <c r="I715" s="15" t="str">
        <f aca="false">IF(OR(D715="",F715="",G715=""),"",IF(F715+MAX(0,10-G715)&lt;=1,D715,D715*(1+(F715+MAX(0,10-G715))/30)))</f>
        <v/>
      </c>
      <c r="J715" s="16" t="str">
        <f aca="false">IF(A715="","",IF(AND(C715="yes",N(G715)&gt;=7),N(E715),0))</f>
        <v/>
      </c>
      <c r="K715" s="17" t="str">
        <f aca="false">IF(A715="","",A715-WEEKDAY(A715,3))</f>
        <v/>
      </c>
      <c r="L715" s="11"/>
    </row>
    <row r="716" customFormat="false" ht="15" hidden="false" customHeight="false" outlineLevel="0" collapsed="false">
      <c r="A716" s="10"/>
      <c r="B716" s="11"/>
      <c r="C716" s="11"/>
      <c r="D716" s="11"/>
      <c r="E716" s="11"/>
      <c r="F716" s="11"/>
      <c r="G716" s="11"/>
      <c r="H716" s="15" t="str">
        <f aca="false">IF(OR(D716="",F716=""),"",IF(F716&lt;=1,D716,D716*(1+F716/30)))</f>
        <v/>
      </c>
      <c r="I716" s="15" t="str">
        <f aca="false">IF(OR(D716="",F716="",G716=""),"",IF(F716+MAX(0,10-G716)&lt;=1,D716,D716*(1+(F716+MAX(0,10-G716))/30)))</f>
        <v/>
      </c>
      <c r="J716" s="16" t="str">
        <f aca="false">IF(A716="","",IF(AND(C716="yes",N(G716)&gt;=7),N(E716),0))</f>
        <v/>
      </c>
      <c r="K716" s="17" t="str">
        <f aca="false">IF(A716="","",A716-WEEKDAY(A716,3))</f>
        <v/>
      </c>
      <c r="L716" s="11"/>
    </row>
    <row r="717" customFormat="false" ht="15" hidden="false" customHeight="false" outlineLevel="0" collapsed="false">
      <c r="A717" s="10"/>
      <c r="B717" s="11"/>
      <c r="C717" s="11"/>
      <c r="D717" s="11"/>
      <c r="E717" s="11"/>
      <c r="F717" s="11"/>
      <c r="G717" s="11"/>
      <c r="H717" s="15" t="str">
        <f aca="false">IF(OR(D717="",F717=""),"",IF(F717&lt;=1,D717,D717*(1+F717/30)))</f>
        <v/>
      </c>
      <c r="I717" s="15" t="str">
        <f aca="false">IF(OR(D717="",F717="",G717=""),"",IF(F717+MAX(0,10-G717)&lt;=1,D717,D717*(1+(F717+MAX(0,10-G717))/30)))</f>
        <v/>
      </c>
      <c r="J717" s="16" t="str">
        <f aca="false">IF(A717="","",IF(AND(C717="yes",N(G717)&gt;=7),N(E717),0))</f>
        <v/>
      </c>
      <c r="K717" s="17" t="str">
        <f aca="false">IF(A717="","",A717-WEEKDAY(A717,3))</f>
        <v/>
      </c>
      <c r="L717" s="11"/>
    </row>
    <row r="718" customFormat="false" ht="15" hidden="false" customHeight="false" outlineLevel="0" collapsed="false">
      <c r="A718" s="10"/>
      <c r="B718" s="11"/>
      <c r="C718" s="11"/>
      <c r="D718" s="11"/>
      <c r="E718" s="11"/>
      <c r="F718" s="11"/>
      <c r="G718" s="11"/>
      <c r="H718" s="15" t="str">
        <f aca="false">IF(OR(D718="",F718=""),"",IF(F718&lt;=1,D718,D718*(1+F718/30)))</f>
        <v/>
      </c>
      <c r="I718" s="15" t="str">
        <f aca="false">IF(OR(D718="",F718="",G718=""),"",IF(F718+MAX(0,10-G718)&lt;=1,D718,D718*(1+(F718+MAX(0,10-G718))/30)))</f>
        <v/>
      </c>
      <c r="J718" s="16" t="str">
        <f aca="false">IF(A718="","",IF(AND(C718="yes",N(G718)&gt;=7),N(E718),0))</f>
        <v/>
      </c>
      <c r="K718" s="17" t="str">
        <f aca="false">IF(A718="","",A718-WEEKDAY(A718,3))</f>
        <v/>
      </c>
      <c r="L718" s="11"/>
    </row>
    <row r="719" customFormat="false" ht="15" hidden="false" customHeight="false" outlineLevel="0" collapsed="false">
      <c r="A719" s="10"/>
      <c r="B719" s="11"/>
      <c r="C719" s="11"/>
      <c r="D719" s="11"/>
      <c r="E719" s="11"/>
      <c r="F719" s="11"/>
      <c r="G719" s="11"/>
      <c r="H719" s="15" t="str">
        <f aca="false">IF(OR(D719="",F719=""),"",IF(F719&lt;=1,D719,D719*(1+F719/30)))</f>
        <v/>
      </c>
      <c r="I719" s="15" t="str">
        <f aca="false">IF(OR(D719="",F719="",G719=""),"",IF(F719+MAX(0,10-G719)&lt;=1,D719,D719*(1+(F719+MAX(0,10-G719))/30)))</f>
        <v/>
      </c>
      <c r="J719" s="16" t="str">
        <f aca="false">IF(A719="","",IF(AND(C719="yes",N(G719)&gt;=7),N(E719),0))</f>
        <v/>
      </c>
      <c r="K719" s="17" t="str">
        <f aca="false">IF(A719="","",A719-WEEKDAY(A719,3))</f>
        <v/>
      </c>
      <c r="L719" s="11"/>
    </row>
    <row r="720" customFormat="false" ht="15" hidden="false" customHeight="false" outlineLevel="0" collapsed="false">
      <c r="A720" s="10"/>
      <c r="B720" s="11"/>
      <c r="C720" s="11"/>
      <c r="D720" s="11"/>
      <c r="E720" s="11"/>
      <c r="F720" s="11"/>
      <c r="G720" s="11"/>
      <c r="H720" s="15" t="str">
        <f aca="false">IF(OR(D720="",F720=""),"",IF(F720&lt;=1,D720,D720*(1+F720/30)))</f>
        <v/>
      </c>
      <c r="I720" s="15" t="str">
        <f aca="false">IF(OR(D720="",F720="",G720=""),"",IF(F720+MAX(0,10-G720)&lt;=1,D720,D720*(1+(F720+MAX(0,10-G720))/30)))</f>
        <v/>
      </c>
      <c r="J720" s="16" t="str">
        <f aca="false">IF(A720="","",IF(AND(C720="yes",N(G720)&gt;=7),N(E720),0))</f>
        <v/>
      </c>
      <c r="K720" s="17" t="str">
        <f aca="false">IF(A720="","",A720-WEEKDAY(A720,3))</f>
        <v/>
      </c>
      <c r="L720" s="11"/>
    </row>
    <row r="721" customFormat="false" ht="15" hidden="false" customHeight="false" outlineLevel="0" collapsed="false">
      <c r="A721" s="10"/>
      <c r="B721" s="11"/>
      <c r="C721" s="11"/>
      <c r="D721" s="11"/>
      <c r="E721" s="11"/>
      <c r="F721" s="11"/>
      <c r="G721" s="11"/>
      <c r="H721" s="15" t="str">
        <f aca="false">IF(OR(D721="",F721=""),"",IF(F721&lt;=1,D721,D721*(1+F721/30)))</f>
        <v/>
      </c>
      <c r="I721" s="15" t="str">
        <f aca="false">IF(OR(D721="",F721="",G721=""),"",IF(F721+MAX(0,10-G721)&lt;=1,D721,D721*(1+(F721+MAX(0,10-G721))/30)))</f>
        <v/>
      </c>
      <c r="J721" s="16" t="str">
        <f aca="false">IF(A721="","",IF(AND(C721="yes",N(G721)&gt;=7),N(E721),0))</f>
        <v/>
      </c>
      <c r="K721" s="17" t="str">
        <f aca="false">IF(A721="","",A721-WEEKDAY(A721,3))</f>
        <v/>
      </c>
      <c r="L721" s="11"/>
    </row>
    <row r="722" customFormat="false" ht="15" hidden="false" customHeight="false" outlineLevel="0" collapsed="false">
      <c r="A722" s="10"/>
      <c r="B722" s="11"/>
      <c r="C722" s="11"/>
      <c r="D722" s="11"/>
      <c r="E722" s="11"/>
      <c r="F722" s="11"/>
      <c r="G722" s="11"/>
      <c r="H722" s="15" t="str">
        <f aca="false">IF(OR(D722="",F722=""),"",IF(F722&lt;=1,D722,D722*(1+F722/30)))</f>
        <v/>
      </c>
      <c r="I722" s="15" t="str">
        <f aca="false">IF(OR(D722="",F722="",G722=""),"",IF(F722+MAX(0,10-G722)&lt;=1,D722,D722*(1+(F722+MAX(0,10-G722))/30)))</f>
        <v/>
      </c>
      <c r="J722" s="16" t="str">
        <f aca="false">IF(A722="","",IF(AND(C722="yes",N(G722)&gt;=7),N(E722),0))</f>
        <v/>
      </c>
      <c r="K722" s="17" t="str">
        <f aca="false">IF(A722="","",A722-WEEKDAY(A722,3))</f>
        <v/>
      </c>
      <c r="L722" s="11"/>
    </row>
    <row r="723" customFormat="false" ht="15" hidden="false" customHeight="false" outlineLevel="0" collapsed="false">
      <c r="A723" s="10"/>
      <c r="B723" s="11"/>
      <c r="C723" s="11"/>
      <c r="D723" s="11"/>
      <c r="E723" s="11"/>
      <c r="F723" s="11"/>
      <c r="G723" s="11"/>
      <c r="H723" s="15" t="str">
        <f aca="false">IF(OR(D723="",F723=""),"",IF(F723&lt;=1,D723,D723*(1+F723/30)))</f>
        <v/>
      </c>
      <c r="I723" s="15" t="str">
        <f aca="false">IF(OR(D723="",F723="",G723=""),"",IF(F723+MAX(0,10-G723)&lt;=1,D723,D723*(1+(F723+MAX(0,10-G723))/30)))</f>
        <v/>
      </c>
      <c r="J723" s="16" t="str">
        <f aca="false">IF(A723="","",IF(AND(C723="yes",N(G723)&gt;=7),N(E723),0))</f>
        <v/>
      </c>
      <c r="K723" s="17" t="str">
        <f aca="false">IF(A723="","",A723-WEEKDAY(A723,3))</f>
        <v/>
      </c>
      <c r="L723" s="11"/>
    </row>
    <row r="724" customFormat="false" ht="15" hidden="false" customHeight="false" outlineLevel="0" collapsed="false">
      <c r="A724" s="10"/>
      <c r="B724" s="11"/>
      <c r="C724" s="11"/>
      <c r="D724" s="11"/>
      <c r="E724" s="11"/>
      <c r="F724" s="11"/>
      <c r="G724" s="11"/>
      <c r="H724" s="15" t="str">
        <f aca="false">IF(OR(D724="",F724=""),"",IF(F724&lt;=1,D724,D724*(1+F724/30)))</f>
        <v/>
      </c>
      <c r="I724" s="15" t="str">
        <f aca="false">IF(OR(D724="",F724="",G724=""),"",IF(F724+MAX(0,10-G724)&lt;=1,D724,D724*(1+(F724+MAX(0,10-G724))/30)))</f>
        <v/>
      </c>
      <c r="J724" s="16" t="str">
        <f aca="false">IF(A724="","",IF(AND(C724="yes",N(G724)&gt;=7),N(E724),0))</f>
        <v/>
      </c>
      <c r="K724" s="17" t="str">
        <f aca="false">IF(A724="","",A724-WEEKDAY(A724,3))</f>
        <v/>
      </c>
      <c r="L724" s="11"/>
    </row>
    <row r="725" customFormat="false" ht="15" hidden="false" customHeight="false" outlineLevel="0" collapsed="false">
      <c r="A725" s="10"/>
      <c r="B725" s="11"/>
      <c r="C725" s="11"/>
      <c r="D725" s="11"/>
      <c r="E725" s="11"/>
      <c r="F725" s="11"/>
      <c r="G725" s="11"/>
      <c r="H725" s="15" t="str">
        <f aca="false">IF(OR(D725="",F725=""),"",IF(F725&lt;=1,D725,D725*(1+F725/30)))</f>
        <v/>
      </c>
      <c r="I725" s="15" t="str">
        <f aca="false">IF(OR(D725="",F725="",G725=""),"",IF(F725+MAX(0,10-G725)&lt;=1,D725,D725*(1+(F725+MAX(0,10-G725))/30)))</f>
        <v/>
      </c>
      <c r="J725" s="16" t="str">
        <f aca="false">IF(A725="","",IF(AND(C725="yes",N(G725)&gt;=7),N(E725),0))</f>
        <v/>
      </c>
      <c r="K725" s="17" t="str">
        <f aca="false">IF(A725="","",A725-WEEKDAY(A725,3))</f>
        <v/>
      </c>
      <c r="L725" s="11"/>
    </row>
    <row r="726" customFormat="false" ht="15" hidden="false" customHeight="false" outlineLevel="0" collapsed="false">
      <c r="A726" s="10"/>
      <c r="B726" s="11"/>
      <c r="C726" s="11"/>
      <c r="D726" s="11"/>
      <c r="E726" s="11"/>
      <c r="F726" s="11"/>
      <c r="G726" s="11"/>
      <c r="H726" s="15" t="str">
        <f aca="false">IF(OR(D726="",F726=""),"",IF(F726&lt;=1,D726,D726*(1+F726/30)))</f>
        <v/>
      </c>
      <c r="I726" s="15" t="str">
        <f aca="false">IF(OR(D726="",F726="",G726=""),"",IF(F726+MAX(0,10-G726)&lt;=1,D726,D726*(1+(F726+MAX(0,10-G726))/30)))</f>
        <v/>
      </c>
      <c r="J726" s="16" t="str">
        <f aca="false">IF(A726="","",IF(AND(C726="yes",N(G726)&gt;=7),N(E726),0))</f>
        <v/>
      </c>
      <c r="K726" s="17" t="str">
        <f aca="false">IF(A726="","",A726-WEEKDAY(A726,3))</f>
        <v/>
      </c>
      <c r="L726" s="11"/>
    </row>
    <row r="727" customFormat="false" ht="15" hidden="false" customHeight="false" outlineLevel="0" collapsed="false">
      <c r="A727" s="10"/>
      <c r="B727" s="11"/>
      <c r="C727" s="11"/>
      <c r="D727" s="11"/>
      <c r="E727" s="11"/>
      <c r="F727" s="11"/>
      <c r="G727" s="11"/>
      <c r="H727" s="15" t="str">
        <f aca="false">IF(OR(D727="",F727=""),"",IF(F727&lt;=1,D727,D727*(1+F727/30)))</f>
        <v/>
      </c>
      <c r="I727" s="15" t="str">
        <f aca="false">IF(OR(D727="",F727="",G727=""),"",IF(F727+MAX(0,10-G727)&lt;=1,D727,D727*(1+(F727+MAX(0,10-G727))/30)))</f>
        <v/>
      </c>
      <c r="J727" s="16" t="str">
        <f aca="false">IF(A727="","",IF(AND(C727="yes",N(G727)&gt;=7),N(E727),0))</f>
        <v/>
      </c>
      <c r="K727" s="17" t="str">
        <f aca="false">IF(A727="","",A727-WEEKDAY(A727,3))</f>
        <v/>
      </c>
      <c r="L727" s="11"/>
    </row>
    <row r="728" customFormat="false" ht="15" hidden="false" customHeight="false" outlineLevel="0" collapsed="false">
      <c r="A728" s="10"/>
      <c r="B728" s="11"/>
      <c r="C728" s="11"/>
      <c r="D728" s="11"/>
      <c r="E728" s="11"/>
      <c r="F728" s="11"/>
      <c r="G728" s="11"/>
      <c r="H728" s="15" t="str">
        <f aca="false">IF(OR(D728="",F728=""),"",IF(F728&lt;=1,D728,D728*(1+F728/30)))</f>
        <v/>
      </c>
      <c r="I728" s="15" t="str">
        <f aca="false">IF(OR(D728="",F728="",G728=""),"",IF(F728+MAX(0,10-G728)&lt;=1,D728,D728*(1+(F728+MAX(0,10-G728))/30)))</f>
        <v/>
      </c>
      <c r="J728" s="16" t="str">
        <f aca="false">IF(A728="","",IF(AND(C728="yes",N(G728)&gt;=7),N(E728),0))</f>
        <v/>
      </c>
      <c r="K728" s="17" t="str">
        <f aca="false">IF(A728="","",A728-WEEKDAY(A728,3))</f>
        <v/>
      </c>
      <c r="L728" s="11"/>
    </row>
    <row r="729" customFormat="false" ht="15" hidden="false" customHeight="false" outlineLevel="0" collapsed="false">
      <c r="A729" s="10"/>
      <c r="B729" s="11"/>
      <c r="C729" s="11"/>
      <c r="D729" s="11"/>
      <c r="E729" s="11"/>
      <c r="F729" s="11"/>
      <c r="G729" s="11"/>
      <c r="H729" s="15" t="str">
        <f aca="false">IF(OR(D729="",F729=""),"",IF(F729&lt;=1,D729,D729*(1+F729/30)))</f>
        <v/>
      </c>
      <c r="I729" s="15" t="str">
        <f aca="false">IF(OR(D729="",F729="",G729=""),"",IF(F729+MAX(0,10-G729)&lt;=1,D729,D729*(1+(F729+MAX(0,10-G729))/30)))</f>
        <v/>
      </c>
      <c r="J729" s="16" t="str">
        <f aca="false">IF(A729="","",IF(AND(C729="yes",N(G729)&gt;=7),N(E729),0))</f>
        <v/>
      </c>
      <c r="K729" s="17" t="str">
        <f aca="false">IF(A729="","",A729-WEEKDAY(A729,3))</f>
        <v/>
      </c>
      <c r="L729" s="11"/>
    </row>
    <row r="730" customFormat="false" ht="15" hidden="false" customHeight="false" outlineLevel="0" collapsed="false">
      <c r="A730" s="10"/>
      <c r="B730" s="11"/>
      <c r="C730" s="11"/>
      <c r="D730" s="11"/>
      <c r="E730" s="11"/>
      <c r="F730" s="11"/>
      <c r="G730" s="11"/>
      <c r="H730" s="15" t="str">
        <f aca="false">IF(OR(D730="",F730=""),"",IF(F730&lt;=1,D730,D730*(1+F730/30)))</f>
        <v/>
      </c>
      <c r="I730" s="15" t="str">
        <f aca="false">IF(OR(D730="",F730="",G730=""),"",IF(F730+MAX(0,10-G730)&lt;=1,D730,D730*(1+(F730+MAX(0,10-G730))/30)))</f>
        <v/>
      </c>
      <c r="J730" s="16" t="str">
        <f aca="false">IF(A730="","",IF(AND(C730="yes",N(G730)&gt;=7),N(E730),0))</f>
        <v/>
      </c>
      <c r="K730" s="17" t="str">
        <f aca="false">IF(A730="","",A730-WEEKDAY(A730,3))</f>
        <v/>
      </c>
      <c r="L730" s="11"/>
    </row>
    <row r="731" customFormat="false" ht="15" hidden="false" customHeight="false" outlineLevel="0" collapsed="false">
      <c r="A731" s="10"/>
      <c r="B731" s="11"/>
      <c r="C731" s="11"/>
      <c r="D731" s="11"/>
      <c r="E731" s="11"/>
      <c r="F731" s="11"/>
      <c r="G731" s="11"/>
      <c r="H731" s="15" t="str">
        <f aca="false">IF(OR(D731="",F731=""),"",IF(F731&lt;=1,D731,D731*(1+F731/30)))</f>
        <v/>
      </c>
      <c r="I731" s="15" t="str">
        <f aca="false">IF(OR(D731="",F731="",G731=""),"",IF(F731+MAX(0,10-G731)&lt;=1,D731,D731*(1+(F731+MAX(0,10-G731))/30)))</f>
        <v/>
      </c>
      <c r="J731" s="16" t="str">
        <f aca="false">IF(A731="","",IF(AND(C731="yes",N(G731)&gt;=7),N(E731),0))</f>
        <v/>
      </c>
      <c r="K731" s="17" t="str">
        <f aca="false">IF(A731="","",A731-WEEKDAY(A731,3))</f>
        <v/>
      </c>
      <c r="L731" s="11"/>
    </row>
    <row r="732" customFormat="false" ht="15" hidden="false" customHeight="false" outlineLevel="0" collapsed="false">
      <c r="A732" s="10"/>
      <c r="B732" s="11"/>
      <c r="C732" s="11"/>
      <c r="D732" s="11"/>
      <c r="E732" s="11"/>
      <c r="F732" s="11"/>
      <c r="G732" s="11"/>
      <c r="H732" s="15" t="str">
        <f aca="false">IF(OR(D732="",F732=""),"",IF(F732&lt;=1,D732,D732*(1+F732/30)))</f>
        <v/>
      </c>
      <c r="I732" s="15" t="str">
        <f aca="false">IF(OR(D732="",F732="",G732=""),"",IF(F732+MAX(0,10-G732)&lt;=1,D732,D732*(1+(F732+MAX(0,10-G732))/30)))</f>
        <v/>
      </c>
      <c r="J732" s="16" t="str">
        <f aca="false">IF(A732="","",IF(AND(C732="yes",N(G732)&gt;=7),N(E732),0))</f>
        <v/>
      </c>
      <c r="K732" s="17" t="str">
        <f aca="false">IF(A732="","",A732-WEEKDAY(A732,3))</f>
        <v/>
      </c>
      <c r="L732" s="11"/>
    </row>
    <row r="733" customFormat="false" ht="15" hidden="false" customHeight="false" outlineLevel="0" collapsed="false">
      <c r="A733" s="10"/>
      <c r="B733" s="11"/>
      <c r="C733" s="11"/>
      <c r="D733" s="11"/>
      <c r="E733" s="11"/>
      <c r="F733" s="11"/>
      <c r="G733" s="11"/>
      <c r="H733" s="15" t="str">
        <f aca="false">IF(OR(D733="",F733=""),"",IF(F733&lt;=1,D733,D733*(1+F733/30)))</f>
        <v/>
      </c>
      <c r="I733" s="15" t="str">
        <f aca="false">IF(OR(D733="",F733="",G733=""),"",IF(F733+MAX(0,10-G733)&lt;=1,D733,D733*(1+(F733+MAX(0,10-G733))/30)))</f>
        <v/>
      </c>
      <c r="J733" s="16" t="str">
        <f aca="false">IF(A733="","",IF(AND(C733="yes",N(G733)&gt;=7),N(E733),0))</f>
        <v/>
      </c>
      <c r="K733" s="17" t="str">
        <f aca="false">IF(A733="","",A733-WEEKDAY(A733,3))</f>
        <v/>
      </c>
      <c r="L733" s="11"/>
    </row>
    <row r="734" customFormat="false" ht="15" hidden="false" customHeight="false" outlineLevel="0" collapsed="false">
      <c r="A734" s="10"/>
      <c r="B734" s="11"/>
      <c r="C734" s="11"/>
      <c r="D734" s="11"/>
      <c r="E734" s="11"/>
      <c r="F734" s="11"/>
      <c r="G734" s="11"/>
      <c r="H734" s="15" t="str">
        <f aca="false">IF(OR(D734="",F734=""),"",IF(F734&lt;=1,D734,D734*(1+F734/30)))</f>
        <v/>
      </c>
      <c r="I734" s="15" t="str">
        <f aca="false">IF(OR(D734="",F734="",G734=""),"",IF(F734+MAX(0,10-G734)&lt;=1,D734,D734*(1+(F734+MAX(0,10-G734))/30)))</f>
        <v/>
      </c>
      <c r="J734" s="16" t="str">
        <f aca="false">IF(A734="","",IF(AND(C734="yes",N(G734)&gt;=7),N(E734),0))</f>
        <v/>
      </c>
      <c r="K734" s="17" t="str">
        <f aca="false">IF(A734="","",A734-WEEKDAY(A734,3))</f>
        <v/>
      </c>
      <c r="L734" s="11"/>
    </row>
    <row r="735" customFormat="false" ht="15" hidden="false" customHeight="false" outlineLevel="0" collapsed="false">
      <c r="A735" s="10"/>
      <c r="B735" s="11"/>
      <c r="C735" s="11"/>
      <c r="D735" s="11"/>
      <c r="E735" s="11"/>
      <c r="F735" s="11"/>
      <c r="G735" s="11"/>
      <c r="H735" s="15" t="str">
        <f aca="false">IF(OR(D735="",F735=""),"",IF(F735&lt;=1,D735,D735*(1+F735/30)))</f>
        <v/>
      </c>
      <c r="I735" s="15" t="str">
        <f aca="false">IF(OR(D735="",F735="",G735=""),"",IF(F735+MAX(0,10-G735)&lt;=1,D735,D735*(1+(F735+MAX(0,10-G735))/30)))</f>
        <v/>
      </c>
      <c r="J735" s="16" t="str">
        <f aca="false">IF(A735="","",IF(AND(C735="yes",N(G735)&gt;=7),N(E735),0))</f>
        <v/>
      </c>
      <c r="K735" s="17" t="str">
        <f aca="false">IF(A735="","",A735-WEEKDAY(A735,3))</f>
        <v/>
      </c>
      <c r="L735" s="11"/>
    </row>
    <row r="736" customFormat="false" ht="15" hidden="false" customHeight="false" outlineLevel="0" collapsed="false">
      <c r="A736" s="10"/>
      <c r="B736" s="11"/>
      <c r="C736" s="11"/>
      <c r="D736" s="11"/>
      <c r="E736" s="11"/>
      <c r="F736" s="11"/>
      <c r="G736" s="11"/>
      <c r="H736" s="15" t="str">
        <f aca="false">IF(OR(D736="",F736=""),"",IF(F736&lt;=1,D736,D736*(1+F736/30)))</f>
        <v/>
      </c>
      <c r="I736" s="15" t="str">
        <f aca="false">IF(OR(D736="",F736="",G736=""),"",IF(F736+MAX(0,10-G736)&lt;=1,D736,D736*(1+(F736+MAX(0,10-G736))/30)))</f>
        <v/>
      </c>
      <c r="J736" s="16" t="str">
        <f aca="false">IF(A736="","",IF(AND(C736="yes",N(G736)&gt;=7),N(E736),0))</f>
        <v/>
      </c>
      <c r="K736" s="17" t="str">
        <f aca="false">IF(A736="","",A736-WEEKDAY(A736,3))</f>
        <v/>
      </c>
      <c r="L736" s="11"/>
    </row>
    <row r="737" customFormat="false" ht="15" hidden="false" customHeight="false" outlineLevel="0" collapsed="false">
      <c r="A737" s="10"/>
      <c r="B737" s="11"/>
      <c r="C737" s="11"/>
      <c r="D737" s="11"/>
      <c r="E737" s="11"/>
      <c r="F737" s="11"/>
      <c r="G737" s="11"/>
      <c r="H737" s="15" t="str">
        <f aca="false">IF(OR(D737="",F737=""),"",IF(F737&lt;=1,D737,D737*(1+F737/30)))</f>
        <v/>
      </c>
      <c r="I737" s="15" t="str">
        <f aca="false">IF(OR(D737="",F737="",G737=""),"",IF(F737+MAX(0,10-G737)&lt;=1,D737,D737*(1+(F737+MAX(0,10-G737))/30)))</f>
        <v/>
      </c>
      <c r="J737" s="16" t="str">
        <f aca="false">IF(A737="","",IF(AND(C737="yes",N(G737)&gt;=7),N(E737),0))</f>
        <v/>
      </c>
      <c r="K737" s="17" t="str">
        <f aca="false">IF(A737="","",A737-WEEKDAY(A737,3))</f>
        <v/>
      </c>
      <c r="L737" s="11"/>
    </row>
    <row r="738" customFormat="false" ht="15" hidden="false" customHeight="false" outlineLevel="0" collapsed="false">
      <c r="A738" s="10"/>
      <c r="B738" s="11"/>
      <c r="C738" s="11"/>
      <c r="D738" s="11"/>
      <c r="E738" s="11"/>
      <c r="F738" s="11"/>
      <c r="G738" s="11"/>
      <c r="H738" s="15" t="str">
        <f aca="false">IF(OR(D738="",F738=""),"",IF(F738&lt;=1,D738,D738*(1+F738/30)))</f>
        <v/>
      </c>
      <c r="I738" s="15" t="str">
        <f aca="false">IF(OR(D738="",F738="",G738=""),"",IF(F738+MAX(0,10-G738)&lt;=1,D738,D738*(1+(F738+MAX(0,10-G738))/30)))</f>
        <v/>
      </c>
      <c r="J738" s="16" t="str">
        <f aca="false">IF(A738="","",IF(AND(C738="yes",N(G738)&gt;=7),N(E738),0))</f>
        <v/>
      </c>
      <c r="K738" s="17" t="str">
        <f aca="false">IF(A738="","",A738-WEEKDAY(A738,3))</f>
        <v/>
      </c>
      <c r="L738" s="11"/>
    </row>
    <row r="739" customFormat="false" ht="15" hidden="false" customHeight="false" outlineLevel="0" collapsed="false">
      <c r="A739" s="10"/>
      <c r="B739" s="11"/>
      <c r="C739" s="11"/>
      <c r="D739" s="11"/>
      <c r="E739" s="11"/>
      <c r="F739" s="11"/>
      <c r="G739" s="11"/>
      <c r="H739" s="15" t="str">
        <f aca="false">IF(OR(D739="",F739=""),"",IF(F739&lt;=1,D739,D739*(1+F739/30)))</f>
        <v/>
      </c>
      <c r="I739" s="15" t="str">
        <f aca="false">IF(OR(D739="",F739="",G739=""),"",IF(F739+MAX(0,10-G739)&lt;=1,D739,D739*(1+(F739+MAX(0,10-G739))/30)))</f>
        <v/>
      </c>
      <c r="J739" s="16" t="str">
        <f aca="false">IF(A739="","",IF(AND(C739="yes",N(G739)&gt;=7),N(E739),0))</f>
        <v/>
      </c>
      <c r="K739" s="17" t="str">
        <f aca="false">IF(A739="","",A739-WEEKDAY(A739,3))</f>
        <v/>
      </c>
      <c r="L739" s="11"/>
    </row>
    <row r="740" customFormat="false" ht="15" hidden="false" customHeight="false" outlineLevel="0" collapsed="false">
      <c r="A740" s="10"/>
      <c r="B740" s="11"/>
      <c r="C740" s="11"/>
      <c r="D740" s="11"/>
      <c r="E740" s="11"/>
      <c r="F740" s="11"/>
      <c r="G740" s="11"/>
      <c r="H740" s="15" t="str">
        <f aca="false">IF(OR(D740="",F740=""),"",IF(F740&lt;=1,D740,D740*(1+F740/30)))</f>
        <v/>
      </c>
      <c r="I740" s="15" t="str">
        <f aca="false">IF(OR(D740="",F740="",G740=""),"",IF(F740+MAX(0,10-G740)&lt;=1,D740,D740*(1+(F740+MAX(0,10-G740))/30)))</f>
        <v/>
      </c>
      <c r="J740" s="16" t="str">
        <f aca="false">IF(A740="","",IF(AND(C740="yes",N(G740)&gt;=7),N(E740),0))</f>
        <v/>
      </c>
      <c r="K740" s="17" t="str">
        <f aca="false">IF(A740="","",A740-WEEKDAY(A740,3))</f>
        <v/>
      </c>
      <c r="L740" s="11"/>
    </row>
    <row r="741" customFormat="false" ht="15" hidden="false" customHeight="false" outlineLevel="0" collapsed="false">
      <c r="A741" s="10"/>
      <c r="B741" s="11"/>
      <c r="C741" s="11"/>
      <c r="D741" s="11"/>
      <c r="E741" s="11"/>
      <c r="F741" s="11"/>
      <c r="G741" s="11"/>
      <c r="H741" s="15" t="str">
        <f aca="false">IF(OR(D741="",F741=""),"",IF(F741&lt;=1,D741,D741*(1+F741/30)))</f>
        <v/>
      </c>
      <c r="I741" s="15" t="str">
        <f aca="false">IF(OR(D741="",F741="",G741=""),"",IF(F741+MAX(0,10-G741)&lt;=1,D741,D741*(1+(F741+MAX(0,10-G741))/30)))</f>
        <v/>
      </c>
      <c r="J741" s="16" t="str">
        <f aca="false">IF(A741="","",IF(AND(C741="yes",N(G741)&gt;=7),N(E741),0))</f>
        <v/>
      </c>
      <c r="K741" s="17" t="str">
        <f aca="false">IF(A741="","",A741-WEEKDAY(A741,3))</f>
        <v/>
      </c>
      <c r="L741" s="11"/>
    </row>
    <row r="742" customFormat="false" ht="15" hidden="false" customHeight="false" outlineLevel="0" collapsed="false">
      <c r="A742" s="10"/>
      <c r="B742" s="11"/>
      <c r="C742" s="11"/>
      <c r="D742" s="11"/>
      <c r="E742" s="11"/>
      <c r="F742" s="11"/>
      <c r="G742" s="11"/>
      <c r="H742" s="15" t="str">
        <f aca="false">IF(OR(D742="",F742=""),"",IF(F742&lt;=1,D742,D742*(1+F742/30)))</f>
        <v/>
      </c>
      <c r="I742" s="15" t="str">
        <f aca="false">IF(OR(D742="",F742="",G742=""),"",IF(F742+MAX(0,10-G742)&lt;=1,D742,D742*(1+(F742+MAX(0,10-G742))/30)))</f>
        <v/>
      </c>
      <c r="J742" s="16" t="str">
        <f aca="false">IF(A742="","",IF(AND(C742="yes",N(G742)&gt;=7),N(E742),0))</f>
        <v/>
      </c>
      <c r="K742" s="17" t="str">
        <f aca="false">IF(A742="","",A742-WEEKDAY(A742,3))</f>
        <v/>
      </c>
      <c r="L742" s="11"/>
    </row>
    <row r="743" customFormat="false" ht="15" hidden="false" customHeight="false" outlineLevel="0" collapsed="false">
      <c r="A743" s="10"/>
      <c r="B743" s="11"/>
      <c r="C743" s="11"/>
      <c r="D743" s="11"/>
      <c r="E743" s="11"/>
      <c r="F743" s="11"/>
      <c r="G743" s="11"/>
      <c r="H743" s="15" t="str">
        <f aca="false">IF(OR(D743="",F743=""),"",IF(F743&lt;=1,D743,D743*(1+F743/30)))</f>
        <v/>
      </c>
      <c r="I743" s="15" t="str">
        <f aca="false">IF(OR(D743="",F743="",G743=""),"",IF(F743+MAX(0,10-G743)&lt;=1,D743,D743*(1+(F743+MAX(0,10-G743))/30)))</f>
        <v/>
      </c>
      <c r="J743" s="16" t="str">
        <f aca="false">IF(A743="","",IF(AND(C743="yes",N(G743)&gt;=7),N(E743),0))</f>
        <v/>
      </c>
      <c r="K743" s="17" t="str">
        <f aca="false">IF(A743="","",A743-WEEKDAY(A743,3))</f>
        <v/>
      </c>
      <c r="L743" s="11"/>
    </row>
    <row r="744" customFormat="false" ht="15" hidden="false" customHeight="false" outlineLevel="0" collapsed="false">
      <c r="A744" s="10"/>
      <c r="B744" s="11"/>
      <c r="C744" s="11"/>
      <c r="D744" s="11"/>
      <c r="E744" s="11"/>
      <c r="F744" s="11"/>
      <c r="G744" s="11"/>
      <c r="H744" s="15" t="str">
        <f aca="false">IF(OR(D744="",F744=""),"",IF(F744&lt;=1,D744,D744*(1+F744/30)))</f>
        <v/>
      </c>
      <c r="I744" s="15" t="str">
        <f aca="false">IF(OR(D744="",F744="",G744=""),"",IF(F744+MAX(0,10-G744)&lt;=1,D744,D744*(1+(F744+MAX(0,10-G744))/30)))</f>
        <v/>
      </c>
      <c r="J744" s="16" t="str">
        <f aca="false">IF(A744="","",IF(AND(C744="yes",N(G744)&gt;=7),N(E744),0))</f>
        <v/>
      </c>
      <c r="K744" s="17" t="str">
        <f aca="false">IF(A744="","",A744-WEEKDAY(A744,3))</f>
        <v/>
      </c>
      <c r="L744" s="11"/>
    </row>
    <row r="745" customFormat="false" ht="15" hidden="false" customHeight="false" outlineLevel="0" collapsed="false">
      <c r="A745" s="10"/>
      <c r="B745" s="11"/>
      <c r="C745" s="11"/>
      <c r="D745" s="11"/>
      <c r="E745" s="11"/>
      <c r="F745" s="11"/>
      <c r="G745" s="11"/>
      <c r="H745" s="15" t="str">
        <f aca="false">IF(OR(D745="",F745=""),"",IF(F745&lt;=1,D745,D745*(1+F745/30)))</f>
        <v/>
      </c>
      <c r="I745" s="15" t="str">
        <f aca="false">IF(OR(D745="",F745="",G745=""),"",IF(F745+MAX(0,10-G745)&lt;=1,D745,D745*(1+(F745+MAX(0,10-G745))/30)))</f>
        <v/>
      </c>
      <c r="J745" s="16" t="str">
        <f aca="false">IF(A745="","",IF(AND(C745="yes",N(G745)&gt;=7),N(E745),0))</f>
        <v/>
      </c>
      <c r="K745" s="17" t="str">
        <f aca="false">IF(A745="","",A745-WEEKDAY(A745,3))</f>
        <v/>
      </c>
      <c r="L745" s="11"/>
    </row>
    <row r="746" customFormat="false" ht="15" hidden="false" customHeight="false" outlineLevel="0" collapsed="false">
      <c r="A746" s="10"/>
      <c r="B746" s="11"/>
      <c r="C746" s="11"/>
      <c r="D746" s="11"/>
      <c r="E746" s="11"/>
      <c r="F746" s="11"/>
      <c r="G746" s="11"/>
      <c r="H746" s="15" t="str">
        <f aca="false">IF(OR(D746="",F746=""),"",IF(F746&lt;=1,D746,D746*(1+F746/30)))</f>
        <v/>
      </c>
      <c r="I746" s="15" t="str">
        <f aca="false">IF(OR(D746="",F746="",G746=""),"",IF(F746+MAX(0,10-G746)&lt;=1,D746,D746*(1+(F746+MAX(0,10-G746))/30)))</f>
        <v/>
      </c>
      <c r="J746" s="16" t="str">
        <f aca="false">IF(A746="","",IF(AND(C746="yes",N(G746)&gt;=7),N(E746),0))</f>
        <v/>
      </c>
      <c r="K746" s="17" t="str">
        <f aca="false">IF(A746="","",A746-WEEKDAY(A746,3))</f>
        <v/>
      </c>
      <c r="L746" s="11"/>
    </row>
    <row r="747" customFormat="false" ht="15" hidden="false" customHeight="false" outlineLevel="0" collapsed="false">
      <c r="A747" s="10"/>
      <c r="B747" s="11"/>
      <c r="C747" s="11"/>
      <c r="D747" s="11"/>
      <c r="E747" s="11"/>
      <c r="F747" s="11"/>
      <c r="G747" s="11"/>
      <c r="H747" s="15" t="str">
        <f aca="false">IF(OR(D747="",F747=""),"",IF(F747&lt;=1,D747,D747*(1+F747/30)))</f>
        <v/>
      </c>
      <c r="I747" s="15" t="str">
        <f aca="false">IF(OR(D747="",F747="",G747=""),"",IF(F747+MAX(0,10-G747)&lt;=1,D747,D747*(1+(F747+MAX(0,10-G747))/30)))</f>
        <v/>
      </c>
      <c r="J747" s="16" t="str">
        <f aca="false">IF(A747="","",IF(AND(C747="yes",N(G747)&gt;=7),N(E747),0))</f>
        <v/>
      </c>
      <c r="K747" s="17" t="str">
        <f aca="false">IF(A747="","",A747-WEEKDAY(A747,3))</f>
        <v/>
      </c>
      <c r="L747" s="11"/>
    </row>
    <row r="748" customFormat="false" ht="15" hidden="false" customHeight="false" outlineLevel="0" collapsed="false">
      <c r="A748" s="10"/>
      <c r="B748" s="11"/>
      <c r="C748" s="11"/>
      <c r="D748" s="11"/>
      <c r="E748" s="11"/>
      <c r="F748" s="11"/>
      <c r="G748" s="11"/>
      <c r="H748" s="15" t="str">
        <f aca="false">IF(OR(D748="",F748=""),"",IF(F748&lt;=1,D748,D748*(1+F748/30)))</f>
        <v/>
      </c>
      <c r="I748" s="15" t="str">
        <f aca="false">IF(OR(D748="",F748="",G748=""),"",IF(F748+MAX(0,10-G748)&lt;=1,D748,D748*(1+(F748+MAX(0,10-G748))/30)))</f>
        <v/>
      </c>
      <c r="J748" s="16" t="str">
        <f aca="false">IF(A748="","",IF(AND(C748="yes",N(G748)&gt;=7),N(E748),0))</f>
        <v/>
      </c>
      <c r="K748" s="17" t="str">
        <f aca="false">IF(A748="","",A748-WEEKDAY(A748,3))</f>
        <v/>
      </c>
      <c r="L748" s="11"/>
    </row>
    <row r="749" customFormat="false" ht="15" hidden="false" customHeight="false" outlineLevel="0" collapsed="false">
      <c r="A749" s="10"/>
      <c r="B749" s="11"/>
      <c r="C749" s="11"/>
      <c r="D749" s="11"/>
      <c r="E749" s="11"/>
      <c r="F749" s="11"/>
      <c r="G749" s="11"/>
      <c r="H749" s="15" t="str">
        <f aca="false">IF(OR(D749="",F749=""),"",IF(F749&lt;=1,D749,D749*(1+F749/30)))</f>
        <v/>
      </c>
      <c r="I749" s="15" t="str">
        <f aca="false">IF(OR(D749="",F749="",G749=""),"",IF(F749+MAX(0,10-G749)&lt;=1,D749,D749*(1+(F749+MAX(0,10-G749))/30)))</f>
        <v/>
      </c>
      <c r="J749" s="16" t="str">
        <f aca="false">IF(A749="","",IF(AND(C749="yes",N(G749)&gt;=7),N(E749),0))</f>
        <v/>
      </c>
      <c r="K749" s="17" t="str">
        <f aca="false">IF(A749="","",A749-WEEKDAY(A749,3))</f>
        <v/>
      </c>
      <c r="L749" s="11"/>
    </row>
    <row r="750" customFormat="false" ht="15" hidden="false" customHeight="false" outlineLevel="0" collapsed="false">
      <c r="A750" s="10"/>
      <c r="B750" s="11"/>
      <c r="C750" s="11"/>
      <c r="D750" s="11"/>
      <c r="E750" s="11"/>
      <c r="F750" s="11"/>
      <c r="G750" s="11"/>
      <c r="H750" s="15" t="str">
        <f aca="false">IF(OR(D750="",F750=""),"",IF(F750&lt;=1,D750,D750*(1+F750/30)))</f>
        <v/>
      </c>
      <c r="I750" s="15" t="str">
        <f aca="false">IF(OR(D750="",F750="",G750=""),"",IF(F750+MAX(0,10-G750)&lt;=1,D750,D750*(1+(F750+MAX(0,10-G750))/30)))</f>
        <v/>
      </c>
      <c r="J750" s="16" t="str">
        <f aca="false">IF(A750="","",IF(AND(C750="yes",N(G750)&gt;=7),N(E750),0))</f>
        <v/>
      </c>
      <c r="K750" s="17" t="str">
        <f aca="false">IF(A750="","",A750-WEEKDAY(A750,3))</f>
        <v/>
      </c>
      <c r="L750" s="11"/>
    </row>
    <row r="751" customFormat="false" ht="15" hidden="false" customHeight="false" outlineLevel="0" collapsed="false">
      <c r="A751" s="10"/>
      <c r="B751" s="11"/>
      <c r="C751" s="11"/>
      <c r="D751" s="11"/>
      <c r="E751" s="11"/>
      <c r="F751" s="11"/>
      <c r="G751" s="11"/>
      <c r="H751" s="15" t="str">
        <f aca="false">IF(OR(D751="",F751=""),"",IF(F751&lt;=1,D751,D751*(1+F751/30)))</f>
        <v/>
      </c>
      <c r="I751" s="15" t="str">
        <f aca="false">IF(OR(D751="",F751="",G751=""),"",IF(F751+MAX(0,10-G751)&lt;=1,D751,D751*(1+(F751+MAX(0,10-G751))/30)))</f>
        <v/>
      </c>
      <c r="J751" s="16" t="str">
        <f aca="false">IF(A751="","",IF(AND(C751="yes",N(G751)&gt;=7),N(E751),0))</f>
        <v/>
      </c>
      <c r="K751" s="17" t="str">
        <f aca="false">IF(A751="","",A751-WEEKDAY(A751,3))</f>
        <v/>
      </c>
      <c r="L751" s="11"/>
    </row>
    <row r="752" customFormat="false" ht="15" hidden="false" customHeight="false" outlineLevel="0" collapsed="false">
      <c r="A752" s="10"/>
      <c r="B752" s="11"/>
      <c r="C752" s="11"/>
      <c r="D752" s="11"/>
      <c r="E752" s="11"/>
      <c r="F752" s="11"/>
      <c r="G752" s="11"/>
      <c r="H752" s="15" t="str">
        <f aca="false">IF(OR(D752="",F752=""),"",IF(F752&lt;=1,D752,D752*(1+F752/30)))</f>
        <v/>
      </c>
      <c r="I752" s="15" t="str">
        <f aca="false">IF(OR(D752="",F752="",G752=""),"",IF(F752+MAX(0,10-G752)&lt;=1,D752,D752*(1+(F752+MAX(0,10-G752))/30)))</f>
        <v/>
      </c>
      <c r="J752" s="16" t="str">
        <f aca="false">IF(A752="","",IF(AND(C752="yes",N(G752)&gt;=7),N(E752),0))</f>
        <v/>
      </c>
      <c r="K752" s="17" t="str">
        <f aca="false">IF(A752="","",A752-WEEKDAY(A752,3))</f>
        <v/>
      </c>
      <c r="L752" s="11"/>
    </row>
    <row r="753" customFormat="false" ht="15" hidden="false" customHeight="false" outlineLevel="0" collapsed="false">
      <c r="A753" s="10"/>
      <c r="B753" s="11"/>
      <c r="C753" s="11"/>
      <c r="D753" s="11"/>
      <c r="E753" s="11"/>
      <c r="F753" s="11"/>
      <c r="G753" s="11"/>
      <c r="H753" s="15" t="str">
        <f aca="false">IF(OR(D753="",F753=""),"",IF(F753&lt;=1,D753,D753*(1+F753/30)))</f>
        <v/>
      </c>
      <c r="I753" s="15" t="str">
        <f aca="false">IF(OR(D753="",F753="",G753=""),"",IF(F753+MAX(0,10-G753)&lt;=1,D753,D753*(1+(F753+MAX(0,10-G753))/30)))</f>
        <v/>
      </c>
      <c r="J753" s="16" t="str">
        <f aca="false">IF(A753="","",IF(AND(C753="yes",N(G753)&gt;=7),N(E753),0))</f>
        <v/>
      </c>
      <c r="K753" s="17" t="str">
        <f aca="false">IF(A753="","",A753-WEEKDAY(A753,3))</f>
        <v/>
      </c>
      <c r="L753" s="11"/>
    </row>
    <row r="754" customFormat="false" ht="15" hidden="false" customHeight="false" outlineLevel="0" collapsed="false">
      <c r="A754" s="10"/>
      <c r="B754" s="11"/>
      <c r="C754" s="11"/>
      <c r="D754" s="11"/>
      <c r="E754" s="11"/>
      <c r="F754" s="11"/>
      <c r="G754" s="11"/>
      <c r="H754" s="15" t="str">
        <f aca="false">IF(OR(D754="",F754=""),"",IF(F754&lt;=1,D754,D754*(1+F754/30)))</f>
        <v/>
      </c>
      <c r="I754" s="15" t="str">
        <f aca="false">IF(OR(D754="",F754="",G754=""),"",IF(F754+MAX(0,10-G754)&lt;=1,D754,D754*(1+(F754+MAX(0,10-G754))/30)))</f>
        <v/>
      </c>
      <c r="J754" s="16" t="str">
        <f aca="false">IF(A754="","",IF(AND(C754="yes",N(G754)&gt;=7),N(E754),0))</f>
        <v/>
      </c>
      <c r="K754" s="17" t="str">
        <f aca="false">IF(A754="","",A754-WEEKDAY(A754,3))</f>
        <v/>
      </c>
      <c r="L754" s="11"/>
    </row>
    <row r="755" customFormat="false" ht="15" hidden="false" customHeight="false" outlineLevel="0" collapsed="false">
      <c r="A755" s="10"/>
      <c r="B755" s="11"/>
      <c r="C755" s="11"/>
      <c r="D755" s="11"/>
      <c r="E755" s="11"/>
      <c r="F755" s="11"/>
      <c r="G755" s="11"/>
      <c r="H755" s="15" t="str">
        <f aca="false">IF(OR(D755="",F755=""),"",IF(F755&lt;=1,D755,D755*(1+F755/30)))</f>
        <v/>
      </c>
      <c r="I755" s="15" t="str">
        <f aca="false">IF(OR(D755="",F755="",G755=""),"",IF(F755+MAX(0,10-G755)&lt;=1,D755,D755*(1+(F755+MAX(0,10-G755))/30)))</f>
        <v/>
      </c>
      <c r="J755" s="16" t="str">
        <f aca="false">IF(A755="","",IF(AND(C755="yes",N(G755)&gt;=7),N(E755),0))</f>
        <v/>
      </c>
      <c r="K755" s="17" t="str">
        <f aca="false">IF(A755="","",A755-WEEKDAY(A755,3))</f>
        <v/>
      </c>
      <c r="L755" s="11"/>
    </row>
    <row r="756" customFormat="false" ht="15" hidden="false" customHeight="false" outlineLevel="0" collapsed="false">
      <c r="A756" s="10"/>
      <c r="B756" s="11"/>
      <c r="C756" s="11"/>
      <c r="D756" s="11"/>
      <c r="E756" s="11"/>
      <c r="F756" s="11"/>
      <c r="G756" s="11"/>
      <c r="H756" s="15" t="str">
        <f aca="false">IF(OR(D756="",F756=""),"",IF(F756&lt;=1,D756,D756*(1+F756/30)))</f>
        <v/>
      </c>
      <c r="I756" s="15" t="str">
        <f aca="false">IF(OR(D756="",F756="",G756=""),"",IF(F756+MAX(0,10-G756)&lt;=1,D756,D756*(1+(F756+MAX(0,10-G756))/30)))</f>
        <v/>
      </c>
      <c r="J756" s="16" t="str">
        <f aca="false">IF(A756="","",IF(AND(C756="yes",N(G756)&gt;=7),N(E756),0))</f>
        <v/>
      </c>
      <c r="K756" s="17" t="str">
        <f aca="false">IF(A756="","",A756-WEEKDAY(A756,3))</f>
        <v/>
      </c>
      <c r="L756" s="11"/>
    </row>
    <row r="757" customFormat="false" ht="15" hidden="false" customHeight="false" outlineLevel="0" collapsed="false">
      <c r="A757" s="10"/>
      <c r="B757" s="11"/>
      <c r="C757" s="11"/>
      <c r="D757" s="11"/>
      <c r="E757" s="11"/>
      <c r="F757" s="11"/>
      <c r="G757" s="11"/>
      <c r="H757" s="15" t="str">
        <f aca="false">IF(OR(D757="",F757=""),"",IF(F757&lt;=1,D757,D757*(1+F757/30)))</f>
        <v/>
      </c>
      <c r="I757" s="15" t="str">
        <f aca="false">IF(OR(D757="",F757="",G757=""),"",IF(F757+MAX(0,10-G757)&lt;=1,D757,D757*(1+(F757+MAX(0,10-G757))/30)))</f>
        <v/>
      </c>
      <c r="J757" s="16" t="str">
        <f aca="false">IF(A757="","",IF(AND(C757="yes",N(G757)&gt;=7),N(E757),0))</f>
        <v/>
      </c>
      <c r="K757" s="17" t="str">
        <f aca="false">IF(A757="","",A757-WEEKDAY(A757,3))</f>
        <v/>
      </c>
      <c r="L757" s="11"/>
    </row>
    <row r="758" customFormat="false" ht="15" hidden="false" customHeight="false" outlineLevel="0" collapsed="false">
      <c r="A758" s="10"/>
      <c r="B758" s="11"/>
      <c r="C758" s="11"/>
      <c r="D758" s="11"/>
      <c r="E758" s="11"/>
      <c r="F758" s="11"/>
      <c r="G758" s="11"/>
      <c r="H758" s="15" t="str">
        <f aca="false">IF(OR(D758="",F758=""),"",IF(F758&lt;=1,D758,D758*(1+F758/30)))</f>
        <v/>
      </c>
      <c r="I758" s="15" t="str">
        <f aca="false">IF(OR(D758="",F758="",G758=""),"",IF(F758+MAX(0,10-G758)&lt;=1,D758,D758*(1+(F758+MAX(0,10-G758))/30)))</f>
        <v/>
      </c>
      <c r="J758" s="16" t="str">
        <f aca="false">IF(A758="","",IF(AND(C758="yes",N(G758)&gt;=7),N(E758),0))</f>
        <v/>
      </c>
      <c r="K758" s="17" t="str">
        <f aca="false">IF(A758="","",A758-WEEKDAY(A758,3))</f>
        <v/>
      </c>
      <c r="L758" s="11"/>
    </row>
    <row r="759" customFormat="false" ht="15" hidden="false" customHeight="false" outlineLevel="0" collapsed="false">
      <c r="A759" s="10"/>
      <c r="B759" s="11"/>
      <c r="C759" s="11"/>
      <c r="D759" s="11"/>
      <c r="E759" s="11"/>
      <c r="F759" s="11"/>
      <c r="G759" s="11"/>
      <c r="H759" s="15" t="str">
        <f aca="false">IF(OR(D759="",F759=""),"",IF(F759&lt;=1,D759,D759*(1+F759/30)))</f>
        <v/>
      </c>
      <c r="I759" s="15" t="str">
        <f aca="false">IF(OR(D759="",F759="",G759=""),"",IF(F759+MAX(0,10-G759)&lt;=1,D759,D759*(1+(F759+MAX(0,10-G759))/30)))</f>
        <v/>
      </c>
      <c r="J759" s="16" t="str">
        <f aca="false">IF(A759="","",IF(AND(C759="yes",N(G759)&gt;=7),N(E759),0))</f>
        <v/>
      </c>
      <c r="K759" s="17" t="str">
        <f aca="false">IF(A759="","",A759-WEEKDAY(A759,3))</f>
        <v/>
      </c>
      <c r="L759" s="11"/>
    </row>
    <row r="760" customFormat="false" ht="15" hidden="false" customHeight="false" outlineLevel="0" collapsed="false">
      <c r="A760" s="10"/>
      <c r="B760" s="11"/>
      <c r="C760" s="11"/>
      <c r="D760" s="11"/>
      <c r="E760" s="11"/>
      <c r="F760" s="11"/>
      <c r="G760" s="11"/>
      <c r="H760" s="15" t="str">
        <f aca="false">IF(OR(D760="",F760=""),"",IF(F760&lt;=1,D760,D760*(1+F760/30)))</f>
        <v/>
      </c>
      <c r="I760" s="15" t="str">
        <f aca="false">IF(OR(D760="",F760="",G760=""),"",IF(F760+MAX(0,10-G760)&lt;=1,D760,D760*(1+(F760+MAX(0,10-G760))/30)))</f>
        <v/>
      </c>
      <c r="J760" s="16" t="str">
        <f aca="false">IF(A760="","",IF(AND(C760="yes",N(G760)&gt;=7),N(E760),0))</f>
        <v/>
      </c>
      <c r="K760" s="17" t="str">
        <f aca="false">IF(A760="","",A760-WEEKDAY(A760,3))</f>
        <v/>
      </c>
      <c r="L760" s="11"/>
    </row>
    <row r="761" customFormat="false" ht="15" hidden="false" customHeight="false" outlineLevel="0" collapsed="false">
      <c r="A761" s="10"/>
      <c r="B761" s="11"/>
      <c r="C761" s="11"/>
      <c r="D761" s="11"/>
      <c r="E761" s="11"/>
      <c r="F761" s="11"/>
      <c r="G761" s="11"/>
      <c r="H761" s="15" t="str">
        <f aca="false">IF(OR(D761="",F761=""),"",IF(F761&lt;=1,D761,D761*(1+F761/30)))</f>
        <v/>
      </c>
      <c r="I761" s="15" t="str">
        <f aca="false">IF(OR(D761="",F761="",G761=""),"",IF(F761+MAX(0,10-G761)&lt;=1,D761,D761*(1+(F761+MAX(0,10-G761))/30)))</f>
        <v/>
      </c>
      <c r="J761" s="16" t="str">
        <f aca="false">IF(A761="","",IF(AND(C761="yes",N(G761)&gt;=7),N(E761),0))</f>
        <v/>
      </c>
      <c r="K761" s="17" t="str">
        <f aca="false">IF(A761="","",A761-WEEKDAY(A761,3))</f>
        <v/>
      </c>
      <c r="L761" s="11"/>
    </row>
    <row r="762" customFormat="false" ht="15" hidden="false" customHeight="false" outlineLevel="0" collapsed="false">
      <c r="A762" s="10"/>
      <c r="B762" s="11"/>
      <c r="C762" s="11"/>
      <c r="D762" s="11"/>
      <c r="E762" s="11"/>
      <c r="F762" s="11"/>
      <c r="G762" s="11"/>
      <c r="H762" s="15" t="str">
        <f aca="false">IF(OR(D762="",F762=""),"",IF(F762&lt;=1,D762,D762*(1+F762/30)))</f>
        <v/>
      </c>
      <c r="I762" s="15" t="str">
        <f aca="false">IF(OR(D762="",F762="",G762=""),"",IF(F762+MAX(0,10-G762)&lt;=1,D762,D762*(1+(F762+MAX(0,10-G762))/30)))</f>
        <v/>
      </c>
      <c r="J762" s="16" t="str">
        <f aca="false">IF(A762="","",IF(AND(C762="yes",N(G762)&gt;=7),N(E762),0))</f>
        <v/>
      </c>
      <c r="K762" s="17" t="str">
        <f aca="false">IF(A762="","",A762-WEEKDAY(A762,3))</f>
        <v/>
      </c>
      <c r="L762" s="11"/>
    </row>
    <row r="763" customFormat="false" ht="15" hidden="false" customHeight="false" outlineLevel="0" collapsed="false">
      <c r="A763" s="10"/>
      <c r="B763" s="11"/>
      <c r="C763" s="11"/>
      <c r="D763" s="11"/>
      <c r="E763" s="11"/>
      <c r="F763" s="11"/>
      <c r="G763" s="11"/>
      <c r="H763" s="15" t="str">
        <f aca="false">IF(OR(D763="",F763=""),"",IF(F763&lt;=1,D763,D763*(1+F763/30)))</f>
        <v/>
      </c>
      <c r="I763" s="15" t="str">
        <f aca="false">IF(OR(D763="",F763="",G763=""),"",IF(F763+MAX(0,10-G763)&lt;=1,D763,D763*(1+(F763+MAX(0,10-G763))/30)))</f>
        <v/>
      </c>
      <c r="J763" s="16" t="str">
        <f aca="false">IF(A763="","",IF(AND(C763="yes",N(G763)&gt;=7),N(E763),0))</f>
        <v/>
      </c>
      <c r="K763" s="17" t="str">
        <f aca="false">IF(A763="","",A763-WEEKDAY(A763,3))</f>
        <v/>
      </c>
      <c r="L763" s="11"/>
    </row>
    <row r="764" customFormat="false" ht="15" hidden="false" customHeight="false" outlineLevel="0" collapsed="false">
      <c r="A764" s="10"/>
      <c r="B764" s="11"/>
      <c r="C764" s="11"/>
      <c r="D764" s="11"/>
      <c r="E764" s="11"/>
      <c r="F764" s="11"/>
      <c r="G764" s="11"/>
      <c r="H764" s="15" t="str">
        <f aca="false">IF(OR(D764="",F764=""),"",IF(F764&lt;=1,D764,D764*(1+F764/30)))</f>
        <v/>
      </c>
      <c r="I764" s="15" t="str">
        <f aca="false">IF(OR(D764="",F764="",G764=""),"",IF(F764+MAX(0,10-G764)&lt;=1,D764,D764*(1+(F764+MAX(0,10-G764))/30)))</f>
        <v/>
      </c>
      <c r="J764" s="16" t="str">
        <f aca="false">IF(A764="","",IF(AND(C764="yes",N(G764)&gt;=7),N(E764),0))</f>
        <v/>
      </c>
      <c r="K764" s="17" t="str">
        <f aca="false">IF(A764="","",A764-WEEKDAY(A764,3))</f>
        <v/>
      </c>
      <c r="L764" s="11"/>
    </row>
    <row r="765" customFormat="false" ht="15" hidden="false" customHeight="false" outlineLevel="0" collapsed="false">
      <c r="A765" s="10"/>
      <c r="B765" s="11"/>
      <c r="C765" s="11"/>
      <c r="D765" s="11"/>
      <c r="E765" s="11"/>
      <c r="F765" s="11"/>
      <c r="G765" s="11"/>
      <c r="H765" s="15" t="str">
        <f aca="false">IF(OR(D765="",F765=""),"",IF(F765&lt;=1,D765,D765*(1+F765/30)))</f>
        <v/>
      </c>
      <c r="I765" s="15" t="str">
        <f aca="false">IF(OR(D765="",F765="",G765=""),"",IF(F765+MAX(0,10-G765)&lt;=1,D765,D765*(1+(F765+MAX(0,10-G765))/30)))</f>
        <v/>
      </c>
      <c r="J765" s="16" t="str">
        <f aca="false">IF(A765="","",IF(AND(C765="yes",N(G765)&gt;=7),N(E765),0))</f>
        <v/>
      </c>
      <c r="K765" s="17" t="str">
        <f aca="false">IF(A765="","",A765-WEEKDAY(A765,3))</f>
        <v/>
      </c>
      <c r="L765" s="11"/>
    </row>
    <row r="766" customFormat="false" ht="15" hidden="false" customHeight="false" outlineLevel="0" collapsed="false">
      <c r="A766" s="10"/>
      <c r="B766" s="11"/>
      <c r="C766" s="11"/>
      <c r="D766" s="11"/>
      <c r="E766" s="11"/>
      <c r="F766" s="11"/>
      <c r="G766" s="11"/>
      <c r="H766" s="15" t="str">
        <f aca="false">IF(OR(D766="",F766=""),"",IF(F766&lt;=1,D766,D766*(1+F766/30)))</f>
        <v/>
      </c>
      <c r="I766" s="15" t="str">
        <f aca="false">IF(OR(D766="",F766="",G766=""),"",IF(F766+MAX(0,10-G766)&lt;=1,D766,D766*(1+(F766+MAX(0,10-G766))/30)))</f>
        <v/>
      </c>
      <c r="J766" s="16" t="str">
        <f aca="false">IF(A766="","",IF(AND(C766="yes",N(G766)&gt;=7),N(E766),0))</f>
        <v/>
      </c>
      <c r="K766" s="17" t="str">
        <f aca="false">IF(A766="","",A766-WEEKDAY(A766,3))</f>
        <v/>
      </c>
      <c r="L766" s="11"/>
    </row>
    <row r="767" customFormat="false" ht="15" hidden="false" customHeight="false" outlineLevel="0" collapsed="false">
      <c r="A767" s="10"/>
      <c r="B767" s="11"/>
      <c r="C767" s="11"/>
      <c r="D767" s="11"/>
      <c r="E767" s="11"/>
      <c r="F767" s="11"/>
      <c r="G767" s="11"/>
      <c r="H767" s="15" t="str">
        <f aca="false">IF(OR(D767="",F767=""),"",IF(F767&lt;=1,D767,D767*(1+F767/30)))</f>
        <v/>
      </c>
      <c r="I767" s="15" t="str">
        <f aca="false">IF(OR(D767="",F767="",G767=""),"",IF(F767+MAX(0,10-G767)&lt;=1,D767,D767*(1+(F767+MAX(0,10-G767))/30)))</f>
        <v/>
      </c>
      <c r="J767" s="16" t="str">
        <f aca="false">IF(A767="","",IF(AND(C767="yes",N(G767)&gt;=7),N(E767),0))</f>
        <v/>
      </c>
      <c r="K767" s="17" t="str">
        <f aca="false">IF(A767="","",A767-WEEKDAY(A767,3))</f>
        <v/>
      </c>
      <c r="L767" s="11"/>
    </row>
    <row r="768" customFormat="false" ht="15" hidden="false" customHeight="false" outlineLevel="0" collapsed="false">
      <c r="A768" s="10"/>
      <c r="B768" s="11"/>
      <c r="C768" s="11"/>
      <c r="D768" s="11"/>
      <c r="E768" s="11"/>
      <c r="F768" s="11"/>
      <c r="G768" s="11"/>
      <c r="H768" s="15" t="str">
        <f aca="false">IF(OR(D768="",F768=""),"",IF(F768&lt;=1,D768,D768*(1+F768/30)))</f>
        <v/>
      </c>
      <c r="I768" s="15" t="str">
        <f aca="false">IF(OR(D768="",F768="",G768=""),"",IF(F768+MAX(0,10-G768)&lt;=1,D768,D768*(1+(F768+MAX(0,10-G768))/30)))</f>
        <v/>
      </c>
      <c r="J768" s="16" t="str">
        <f aca="false">IF(A768="","",IF(AND(C768="yes",N(G768)&gt;=7),N(E768),0))</f>
        <v/>
      </c>
      <c r="K768" s="17" t="str">
        <f aca="false">IF(A768="","",A768-WEEKDAY(A768,3))</f>
        <v/>
      </c>
      <c r="L768" s="11"/>
    </row>
    <row r="769" customFormat="false" ht="15" hidden="false" customHeight="false" outlineLevel="0" collapsed="false">
      <c r="A769" s="10"/>
      <c r="B769" s="11"/>
      <c r="C769" s="11"/>
      <c r="D769" s="11"/>
      <c r="E769" s="11"/>
      <c r="F769" s="11"/>
      <c r="G769" s="11"/>
      <c r="H769" s="15" t="str">
        <f aca="false">IF(OR(D769="",F769=""),"",IF(F769&lt;=1,D769,D769*(1+F769/30)))</f>
        <v/>
      </c>
      <c r="I769" s="15" t="str">
        <f aca="false">IF(OR(D769="",F769="",G769=""),"",IF(F769+MAX(0,10-G769)&lt;=1,D769,D769*(1+(F769+MAX(0,10-G769))/30)))</f>
        <v/>
      </c>
      <c r="J769" s="16" t="str">
        <f aca="false">IF(A769="","",IF(AND(C769="yes",N(G769)&gt;=7),N(E769),0))</f>
        <v/>
      </c>
      <c r="K769" s="17" t="str">
        <f aca="false">IF(A769="","",A769-WEEKDAY(A769,3))</f>
        <v/>
      </c>
      <c r="L769" s="11"/>
    </row>
    <row r="770" customFormat="false" ht="15" hidden="false" customHeight="false" outlineLevel="0" collapsed="false">
      <c r="A770" s="10"/>
      <c r="B770" s="11"/>
      <c r="C770" s="11"/>
      <c r="D770" s="11"/>
      <c r="E770" s="11"/>
      <c r="F770" s="11"/>
      <c r="G770" s="11"/>
      <c r="H770" s="15" t="str">
        <f aca="false">IF(OR(D770="",F770=""),"",IF(F770&lt;=1,D770,D770*(1+F770/30)))</f>
        <v/>
      </c>
      <c r="I770" s="15" t="str">
        <f aca="false">IF(OR(D770="",F770="",G770=""),"",IF(F770+MAX(0,10-G770)&lt;=1,D770,D770*(1+(F770+MAX(0,10-G770))/30)))</f>
        <v/>
      </c>
      <c r="J770" s="16" t="str">
        <f aca="false">IF(A770="","",IF(AND(C770="yes",N(G770)&gt;=7),N(E770),0))</f>
        <v/>
      </c>
      <c r="K770" s="17" t="str">
        <f aca="false">IF(A770="","",A770-WEEKDAY(A770,3))</f>
        <v/>
      </c>
      <c r="L770" s="11"/>
    </row>
    <row r="771" customFormat="false" ht="15" hidden="false" customHeight="false" outlineLevel="0" collapsed="false">
      <c r="A771" s="10"/>
      <c r="B771" s="11"/>
      <c r="C771" s="11"/>
      <c r="D771" s="11"/>
      <c r="E771" s="11"/>
      <c r="F771" s="11"/>
      <c r="G771" s="11"/>
      <c r="H771" s="15" t="str">
        <f aca="false">IF(OR(D771="",F771=""),"",IF(F771&lt;=1,D771,D771*(1+F771/30)))</f>
        <v/>
      </c>
      <c r="I771" s="15" t="str">
        <f aca="false">IF(OR(D771="",F771="",G771=""),"",IF(F771+MAX(0,10-G771)&lt;=1,D771,D771*(1+(F771+MAX(0,10-G771))/30)))</f>
        <v/>
      </c>
      <c r="J771" s="16" t="str">
        <f aca="false">IF(A771="","",IF(AND(C771="yes",N(G771)&gt;=7),N(E771),0))</f>
        <v/>
      </c>
      <c r="K771" s="17" t="str">
        <f aca="false">IF(A771="","",A771-WEEKDAY(A771,3))</f>
        <v/>
      </c>
      <c r="L771" s="11"/>
    </row>
    <row r="772" customFormat="false" ht="15" hidden="false" customHeight="false" outlineLevel="0" collapsed="false">
      <c r="A772" s="10"/>
      <c r="B772" s="11"/>
      <c r="C772" s="11"/>
      <c r="D772" s="11"/>
      <c r="E772" s="11"/>
      <c r="F772" s="11"/>
      <c r="G772" s="11"/>
      <c r="H772" s="15" t="str">
        <f aca="false">IF(OR(D772="",F772=""),"",IF(F772&lt;=1,D772,D772*(1+F772/30)))</f>
        <v/>
      </c>
      <c r="I772" s="15" t="str">
        <f aca="false">IF(OR(D772="",F772="",G772=""),"",IF(F772+MAX(0,10-G772)&lt;=1,D772,D772*(1+(F772+MAX(0,10-G772))/30)))</f>
        <v/>
      </c>
      <c r="J772" s="16" t="str">
        <f aca="false">IF(A772="","",IF(AND(C772="yes",N(G772)&gt;=7),N(E772),0))</f>
        <v/>
      </c>
      <c r="K772" s="17" t="str">
        <f aca="false">IF(A772="","",A772-WEEKDAY(A772,3))</f>
        <v/>
      </c>
      <c r="L772" s="11"/>
    </row>
    <row r="773" customFormat="false" ht="15" hidden="false" customHeight="false" outlineLevel="0" collapsed="false">
      <c r="A773" s="10"/>
      <c r="B773" s="11"/>
      <c r="C773" s="11"/>
      <c r="D773" s="11"/>
      <c r="E773" s="11"/>
      <c r="F773" s="11"/>
      <c r="G773" s="11"/>
      <c r="H773" s="15" t="str">
        <f aca="false">IF(OR(D773="",F773=""),"",IF(F773&lt;=1,D773,D773*(1+F773/30)))</f>
        <v/>
      </c>
      <c r="I773" s="15" t="str">
        <f aca="false">IF(OR(D773="",F773="",G773=""),"",IF(F773+MAX(0,10-G773)&lt;=1,D773,D773*(1+(F773+MAX(0,10-G773))/30)))</f>
        <v/>
      </c>
      <c r="J773" s="16" t="str">
        <f aca="false">IF(A773="","",IF(AND(C773="yes",N(G773)&gt;=7),N(E773),0))</f>
        <v/>
      </c>
      <c r="K773" s="17" t="str">
        <f aca="false">IF(A773="","",A773-WEEKDAY(A773,3))</f>
        <v/>
      </c>
      <c r="L773" s="11"/>
    </row>
    <row r="774" customFormat="false" ht="15" hidden="false" customHeight="false" outlineLevel="0" collapsed="false">
      <c r="A774" s="10"/>
      <c r="B774" s="11"/>
      <c r="C774" s="11"/>
      <c r="D774" s="11"/>
      <c r="E774" s="11"/>
      <c r="F774" s="11"/>
      <c r="G774" s="11"/>
      <c r="H774" s="15" t="str">
        <f aca="false">IF(OR(D774="",F774=""),"",IF(F774&lt;=1,D774,D774*(1+F774/30)))</f>
        <v/>
      </c>
      <c r="I774" s="15" t="str">
        <f aca="false">IF(OR(D774="",F774="",G774=""),"",IF(F774+MAX(0,10-G774)&lt;=1,D774,D774*(1+(F774+MAX(0,10-G774))/30)))</f>
        <v/>
      </c>
      <c r="J774" s="16" t="str">
        <f aca="false">IF(A774="","",IF(AND(C774="yes",N(G774)&gt;=7),N(E774),0))</f>
        <v/>
      </c>
      <c r="K774" s="17" t="str">
        <f aca="false">IF(A774="","",A774-WEEKDAY(A774,3))</f>
        <v/>
      </c>
      <c r="L774" s="11"/>
    </row>
    <row r="775" customFormat="false" ht="15" hidden="false" customHeight="false" outlineLevel="0" collapsed="false">
      <c r="A775" s="10"/>
      <c r="B775" s="11"/>
      <c r="C775" s="11"/>
      <c r="D775" s="11"/>
      <c r="E775" s="11"/>
      <c r="F775" s="11"/>
      <c r="G775" s="11"/>
      <c r="H775" s="15" t="str">
        <f aca="false">IF(OR(D775="",F775=""),"",IF(F775&lt;=1,D775,D775*(1+F775/30)))</f>
        <v/>
      </c>
      <c r="I775" s="15" t="str">
        <f aca="false">IF(OR(D775="",F775="",G775=""),"",IF(F775+MAX(0,10-G775)&lt;=1,D775,D775*(1+(F775+MAX(0,10-G775))/30)))</f>
        <v/>
      </c>
      <c r="J775" s="16" t="str">
        <f aca="false">IF(A775="","",IF(AND(C775="yes",N(G775)&gt;=7),N(E775),0))</f>
        <v/>
      </c>
      <c r="K775" s="17" t="str">
        <f aca="false">IF(A775="","",A775-WEEKDAY(A775,3))</f>
        <v/>
      </c>
      <c r="L775" s="11"/>
    </row>
    <row r="776" customFormat="false" ht="15" hidden="false" customHeight="false" outlineLevel="0" collapsed="false">
      <c r="A776" s="10"/>
      <c r="B776" s="11"/>
      <c r="C776" s="11"/>
      <c r="D776" s="11"/>
      <c r="E776" s="11"/>
      <c r="F776" s="11"/>
      <c r="G776" s="11"/>
      <c r="H776" s="15" t="str">
        <f aca="false">IF(OR(D776="",F776=""),"",IF(F776&lt;=1,D776,D776*(1+F776/30)))</f>
        <v/>
      </c>
      <c r="I776" s="15" t="str">
        <f aca="false">IF(OR(D776="",F776="",G776=""),"",IF(F776+MAX(0,10-G776)&lt;=1,D776,D776*(1+(F776+MAX(0,10-G776))/30)))</f>
        <v/>
      </c>
      <c r="J776" s="16" t="str">
        <f aca="false">IF(A776="","",IF(AND(C776="yes",N(G776)&gt;=7),N(E776),0))</f>
        <v/>
      </c>
      <c r="K776" s="17" t="str">
        <f aca="false">IF(A776="","",A776-WEEKDAY(A776,3))</f>
        <v/>
      </c>
      <c r="L776" s="11"/>
    </row>
    <row r="777" customFormat="false" ht="15" hidden="false" customHeight="false" outlineLevel="0" collapsed="false">
      <c r="A777" s="10"/>
      <c r="B777" s="11"/>
      <c r="C777" s="11"/>
      <c r="D777" s="11"/>
      <c r="E777" s="11"/>
      <c r="F777" s="11"/>
      <c r="G777" s="11"/>
      <c r="H777" s="15" t="str">
        <f aca="false">IF(OR(D777="",F777=""),"",IF(F777&lt;=1,D777,D777*(1+F777/30)))</f>
        <v/>
      </c>
      <c r="I777" s="15" t="str">
        <f aca="false">IF(OR(D777="",F777="",G777=""),"",IF(F777+MAX(0,10-G777)&lt;=1,D777,D777*(1+(F777+MAX(0,10-G777))/30)))</f>
        <v/>
      </c>
      <c r="J777" s="16" t="str">
        <f aca="false">IF(A777="","",IF(AND(C777="yes",N(G777)&gt;=7),N(E777),0))</f>
        <v/>
      </c>
      <c r="K777" s="17" t="str">
        <f aca="false">IF(A777="","",A777-WEEKDAY(A777,3))</f>
        <v/>
      </c>
      <c r="L777" s="11"/>
    </row>
    <row r="778" customFormat="false" ht="15" hidden="false" customHeight="false" outlineLevel="0" collapsed="false">
      <c r="A778" s="10"/>
      <c r="B778" s="11"/>
      <c r="C778" s="11"/>
      <c r="D778" s="11"/>
      <c r="E778" s="11"/>
      <c r="F778" s="11"/>
      <c r="G778" s="11"/>
      <c r="H778" s="15" t="str">
        <f aca="false">IF(OR(D778="",F778=""),"",IF(F778&lt;=1,D778,D778*(1+F778/30)))</f>
        <v/>
      </c>
      <c r="I778" s="15" t="str">
        <f aca="false">IF(OR(D778="",F778="",G778=""),"",IF(F778+MAX(0,10-G778)&lt;=1,D778,D778*(1+(F778+MAX(0,10-G778))/30)))</f>
        <v/>
      </c>
      <c r="J778" s="16" t="str">
        <f aca="false">IF(A778="","",IF(AND(C778="yes",N(G778)&gt;=7),N(E778),0))</f>
        <v/>
      </c>
      <c r="K778" s="17" t="str">
        <f aca="false">IF(A778="","",A778-WEEKDAY(A778,3))</f>
        <v/>
      </c>
      <c r="L778" s="11"/>
    </row>
    <row r="779" customFormat="false" ht="15" hidden="false" customHeight="false" outlineLevel="0" collapsed="false">
      <c r="A779" s="10"/>
      <c r="B779" s="11"/>
      <c r="C779" s="11"/>
      <c r="D779" s="11"/>
      <c r="E779" s="11"/>
      <c r="F779" s="11"/>
      <c r="G779" s="11"/>
      <c r="H779" s="15" t="str">
        <f aca="false">IF(OR(D779="",F779=""),"",IF(F779&lt;=1,D779,D779*(1+F779/30)))</f>
        <v/>
      </c>
      <c r="I779" s="15" t="str">
        <f aca="false">IF(OR(D779="",F779="",G779=""),"",IF(F779+MAX(0,10-G779)&lt;=1,D779,D779*(1+(F779+MAX(0,10-G779))/30)))</f>
        <v/>
      </c>
      <c r="J779" s="16" t="str">
        <f aca="false">IF(A779="","",IF(AND(C779="yes",N(G779)&gt;=7),N(E779),0))</f>
        <v/>
      </c>
      <c r="K779" s="17" t="str">
        <f aca="false">IF(A779="","",A779-WEEKDAY(A779,3))</f>
        <v/>
      </c>
      <c r="L779" s="11"/>
    </row>
    <row r="780" customFormat="false" ht="15" hidden="false" customHeight="false" outlineLevel="0" collapsed="false">
      <c r="A780" s="10"/>
      <c r="B780" s="11"/>
      <c r="C780" s="11"/>
      <c r="D780" s="11"/>
      <c r="E780" s="11"/>
      <c r="F780" s="11"/>
      <c r="G780" s="11"/>
      <c r="H780" s="15" t="str">
        <f aca="false">IF(OR(D780="",F780=""),"",IF(F780&lt;=1,D780,D780*(1+F780/30)))</f>
        <v/>
      </c>
      <c r="I780" s="15" t="str">
        <f aca="false">IF(OR(D780="",F780="",G780=""),"",IF(F780+MAX(0,10-G780)&lt;=1,D780,D780*(1+(F780+MAX(0,10-G780))/30)))</f>
        <v/>
      </c>
      <c r="J780" s="16" t="str">
        <f aca="false">IF(A780="","",IF(AND(C780="yes",N(G780)&gt;=7),N(E780),0))</f>
        <v/>
      </c>
      <c r="K780" s="17" t="str">
        <f aca="false">IF(A780="","",A780-WEEKDAY(A780,3))</f>
        <v/>
      </c>
      <c r="L780" s="11"/>
    </row>
    <row r="781" customFormat="false" ht="15" hidden="false" customHeight="false" outlineLevel="0" collapsed="false">
      <c r="A781" s="10"/>
      <c r="B781" s="11"/>
      <c r="C781" s="11"/>
      <c r="D781" s="11"/>
      <c r="E781" s="11"/>
      <c r="F781" s="11"/>
      <c r="G781" s="11"/>
      <c r="H781" s="15" t="str">
        <f aca="false">IF(OR(D781="",F781=""),"",IF(F781&lt;=1,D781,D781*(1+F781/30)))</f>
        <v/>
      </c>
      <c r="I781" s="15" t="str">
        <f aca="false">IF(OR(D781="",F781="",G781=""),"",IF(F781+MAX(0,10-G781)&lt;=1,D781,D781*(1+(F781+MAX(0,10-G781))/30)))</f>
        <v/>
      </c>
      <c r="J781" s="16" t="str">
        <f aca="false">IF(A781="","",IF(AND(C781="yes",N(G781)&gt;=7),N(E781),0))</f>
        <v/>
      </c>
      <c r="K781" s="17" t="str">
        <f aca="false">IF(A781="","",A781-WEEKDAY(A781,3))</f>
        <v/>
      </c>
      <c r="L781" s="11"/>
    </row>
    <row r="782" customFormat="false" ht="15" hidden="false" customHeight="false" outlineLevel="0" collapsed="false">
      <c r="A782" s="10"/>
      <c r="B782" s="11"/>
      <c r="C782" s="11"/>
      <c r="D782" s="11"/>
      <c r="E782" s="11"/>
      <c r="F782" s="11"/>
      <c r="G782" s="11"/>
      <c r="H782" s="15" t="str">
        <f aca="false">IF(OR(D782="",F782=""),"",IF(F782&lt;=1,D782,D782*(1+F782/30)))</f>
        <v/>
      </c>
      <c r="I782" s="15" t="str">
        <f aca="false">IF(OR(D782="",F782="",G782=""),"",IF(F782+MAX(0,10-G782)&lt;=1,D782,D782*(1+(F782+MAX(0,10-G782))/30)))</f>
        <v/>
      </c>
      <c r="J782" s="16" t="str">
        <f aca="false">IF(A782="","",IF(AND(C782="yes",N(G782)&gt;=7),N(E782),0))</f>
        <v/>
      </c>
      <c r="K782" s="17" t="str">
        <f aca="false">IF(A782="","",A782-WEEKDAY(A782,3))</f>
        <v/>
      </c>
      <c r="L782" s="11"/>
    </row>
    <row r="783" customFormat="false" ht="15" hidden="false" customHeight="false" outlineLevel="0" collapsed="false">
      <c r="A783" s="10"/>
      <c r="B783" s="11"/>
      <c r="C783" s="11"/>
      <c r="D783" s="11"/>
      <c r="E783" s="11"/>
      <c r="F783" s="11"/>
      <c r="G783" s="11"/>
      <c r="H783" s="15" t="str">
        <f aca="false">IF(OR(D783="",F783=""),"",IF(F783&lt;=1,D783,D783*(1+F783/30)))</f>
        <v/>
      </c>
      <c r="I783" s="15" t="str">
        <f aca="false">IF(OR(D783="",F783="",G783=""),"",IF(F783+MAX(0,10-G783)&lt;=1,D783,D783*(1+(F783+MAX(0,10-G783))/30)))</f>
        <v/>
      </c>
      <c r="J783" s="16" t="str">
        <f aca="false">IF(A783="","",IF(AND(C783="yes",N(G783)&gt;=7),N(E783),0))</f>
        <v/>
      </c>
      <c r="K783" s="17" t="str">
        <f aca="false">IF(A783="","",A783-WEEKDAY(A783,3))</f>
        <v/>
      </c>
      <c r="L783" s="11"/>
    </row>
    <row r="784" customFormat="false" ht="15" hidden="false" customHeight="false" outlineLevel="0" collapsed="false">
      <c r="A784" s="10"/>
      <c r="B784" s="11"/>
      <c r="C784" s="11"/>
      <c r="D784" s="11"/>
      <c r="E784" s="11"/>
      <c r="F784" s="11"/>
      <c r="G784" s="11"/>
      <c r="H784" s="15" t="str">
        <f aca="false">IF(OR(D784="",F784=""),"",IF(F784&lt;=1,D784,D784*(1+F784/30)))</f>
        <v/>
      </c>
      <c r="I784" s="15" t="str">
        <f aca="false">IF(OR(D784="",F784="",G784=""),"",IF(F784+MAX(0,10-G784)&lt;=1,D784,D784*(1+(F784+MAX(0,10-G784))/30)))</f>
        <v/>
      </c>
      <c r="J784" s="16" t="str">
        <f aca="false">IF(A784="","",IF(AND(C784="yes",N(G784)&gt;=7),N(E784),0))</f>
        <v/>
      </c>
      <c r="K784" s="17" t="str">
        <f aca="false">IF(A784="","",A784-WEEKDAY(A784,3))</f>
        <v/>
      </c>
      <c r="L784" s="11"/>
    </row>
    <row r="785" customFormat="false" ht="15" hidden="false" customHeight="false" outlineLevel="0" collapsed="false">
      <c r="A785" s="10"/>
      <c r="B785" s="11"/>
      <c r="C785" s="11"/>
      <c r="D785" s="11"/>
      <c r="E785" s="11"/>
      <c r="F785" s="11"/>
      <c r="G785" s="11"/>
      <c r="H785" s="15" t="str">
        <f aca="false">IF(OR(D785="",F785=""),"",IF(F785&lt;=1,D785,D785*(1+F785/30)))</f>
        <v/>
      </c>
      <c r="I785" s="15" t="str">
        <f aca="false">IF(OR(D785="",F785="",G785=""),"",IF(F785+MAX(0,10-G785)&lt;=1,D785,D785*(1+(F785+MAX(0,10-G785))/30)))</f>
        <v/>
      </c>
      <c r="J785" s="16" t="str">
        <f aca="false">IF(A785="","",IF(AND(C785="yes",N(G785)&gt;=7),N(E785),0))</f>
        <v/>
      </c>
      <c r="K785" s="17" t="str">
        <f aca="false">IF(A785="","",A785-WEEKDAY(A785,3))</f>
        <v/>
      </c>
      <c r="L785" s="11"/>
    </row>
    <row r="786" customFormat="false" ht="15" hidden="false" customHeight="false" outlineLevel="0" collapsed="false">
      <c r="A786" s="10"/>
      <c r="B786" s="11"/>
      <c r="C786" s="11"/>
      <c r="D786" s="11"/>
      <c r="E786" s="11"/>
      <c r="F786" s="11"/>
      <c r="G786" s="11"/>
      <c r="H786" s="15" t="str">
        <f aca="false">IF(OR(D786="",F786=""),"",IF(F786&lt;=1,D786,D786*(1+F786/30)))</f>
        <v/>
      </c>
      <c r="I786" s="15" t="str">
        <f aca="false">IF(OR(D786="",F786="",G786=""),"",IF(F786+MAX(0,10-G786)&lt;=1,D786,D786*(1+(F786+MAX(0,10-G786))/30)))</f>
        <v/>
      </c>
      <c r="J786" s="16" t="str">
        <f aca="false">IF(A786="","",IF(AND(C786="yes",N(G786)&gt;=7),N(E786),0))</f>
        <v/>
      </c>
      <c r="K786" s="17" t="str">
        <f aca="false">IF(A786="","",A786-WEEKDAY(A786,3))</f>
        <v/>
      </c>
      <c r="L786" s="11"/>
    </row>
    <row r="787" customFormat="false" ht="15" hidden="false" customHeight="false" outlineLevel="0" collapsed="false">
      <c r="A787" s="10"/>
      <c r="B787" s="11"/>
      <c r="C787" s="11"/>
      <c r="D787" s="11"/>
      <c r="E787" s="11"/>
      <c r="F787" s="11"/>
      <c r="G787" s="11"/>
      <c r="H787" s="15" t="str">
        <f aca="false">IF(OR(D787="",F787=""),"",IF(F787&lt;=1,D787,D787*(1+F787/30)))</f>
        <v/>
      </c>
      <c r="I787" s="15" t="str">
        <f aca="false">IF(OR(D787="",F787="",G787=""),"",IF(F787+MAX(0,10-G787)&lt;=1,D787,D787*(1+(F787+MAX(0,10-G787))/30)))</f>
        <v/>
      </c>
      <c r="J787" s="16" t="str">
        <f aca="false">IF(A787="","",IF(AND(C787="yes",N(G787)&gt;=7),N(E787),0))</f>
        <v/>
      </c>
      <c r="K787" s="17" t="str">
        <f aca="false">IF(A787="","",A787-WEEKDAY(A787,3))</f>
        <v/>
      </c>
      <c r="L787" s="11"/>
    </row>
    <row r="788" customFormat="false" ht="15" hidden="false" customHeight="false" outlineLevel="0" collapsed="false">
      <c r="A788" s="10"/>
      <c r="B788" s="11"/>
      <c r="C788" s="11"/>
      <c r="D788" s="11"/>
      <c r="E788" s="11"/>
      <c r="F788" s="11"/>
      <c r="G788" s="11"/>
      <c r="H788" s="15" t="str">
        <f aca="false">IF(OR(D788="",F788=""),"",IF(F788&lt;=1,D788,D788*(1+F788/30)))</f>
        <v/>
      </c>
      <c r="I788" s="15" t="str">
        <f aca="false">IF(OR(D788="",F788="",G788=""),"",IF(F788+MAX(0,10-G788)&lt;=1,D788,D788*(1+(F788+MAX(0,10-G788))/30)))</f>
        <v/>
      </c>
      <c r="J788" s="16" t="str">
        <f aca="false">IF(A788="","",IF(AND(C788="yes",N(G788)&gt;=7),N(E788),0))</f>
        <v/>
      </c>
      <c r="K788" s="17" t="str">
        <f aca="false">IF(A788="","",A788-WEEKDAY(A788,3))</f>
        <v/>
      </c>
      <c r="L788" s="11"/>
    </row>
    <row r="789" customFormat="false" ht="15" hidden="false" customHeight="false" outlineLevel="0" collapsed="false">
      <c r="A789" s="10"/>
      <c r="B789" s="11"/>
      <c r="C789" s="11"/>
      <c r="D789" s="11"/>
      <c r="E789" s="11"/>
      <c r="F789" s="11"/>
      <c r="G789" s="11"/>
      <c r="H789" s="15" t="str">
        <f aca="false">IF(OR(D789="",F789=""),"",IF(F789&lt;=1,D789,D789*(1+F789/30)))</f>
        <v/>
      </c>
      <c r="I789" s="15" t="str">
        <f aca="false">IF(OR(D789="",F789="",G789=""),"",IF(F789+MAX(0,10-G789)&lt;=1,D789,D789*(1+(F789+MAX(0,10-G789))/30)))</f>
        <v/>
      </c>
      <c r="J789" s="16" t="str">
        <f aca="false">IF(A789="","",IF(AND(C789="yes",N(G789)&gt;=7),N(E789),0))</f>
        <v/>
      </c>
      <c r="K789" s="17" t="str">
        <f aca="false">IF(A789="","",A789-WEEKDAY(A789,3))</f>
        <v/>
      </c>
      <c r="L789" s="11"/>
    </row>
    <row r="790" customFormat="false" ht="15" hidden="false" customHeight="false" outlineLevel="0" collapsed="false">
      <c r="A790" s="10"/>
      <c r="B790" s="11"/>
      <c r="C790" s="11"/>
      <c r="D790" s="11"/>
      <c r="E790" s="11"/>
      <c r="F790" s="11"/>
      <c r="G790" s="11"/>
      <c r="H790" s="15" t="str">
        <f aca="false">IF(OR(D790="",F790=""),"",IF(F790&lt;=1,D790,D790*(1+F790/30)))</f>
        <v/>
      </c>
      <c r="I790" s="15" t="str">
        <f aca="false">IF(OR(D790="",F790="",G790=""),"",IF(F790+MAX(0,10-G790)&lt;=1,D790,D790*(1+(F790+MAX(0,10-G790))/30)))</f>
        <v/>
      </c>
      <c r="J790" s="16" t="str">
        <f aca="false">IF(A790="","",IF(AND(C790="yes",N(G790)&gt;=7),N(E790),0))</f>
        <v/>
      </c>
      <c r="K790" s="17" t="str">
        <f aca="false">IF(A790="","",A790-WEEKDAY(A790,3))</f>
        <v/>
      </c>
      <c r="L790" s="11"/>
    </row>
    <row r="791" customFormat="false" ht="15" hidden="false" customHeight="false" outlineLevel="0" collapsed="false">
      <c r="A791" s="10"/>
      <c r="B791" s="11"/>
      <c r="C791" s="11"/>
      <c r="D791" s="11"/>
      <c r="E791" s="11"/>
      <c r="F791" s="11"/>
      <c r="G791" s="11"/>
      <c r="H791" s="15" t="str">
        <f aca="false">IF(OR(D791="",F791=""),"",IF(F791&lt;=1,D791,D791*(1+F791/30)))</f>
        <v/>
      </c>
      <c r="I791" s="15" t="str">
        <f aca="false">IF(OR(D791="",F791="",G791=""),"",IF(F791+MAX(0,10-G791)&lt;=1,D791,D791*(1+(F791+MAX(0,10-G791))/30)))</f>
        <v/>
      </c>
      <c r="J791" s="16" t="str">
        <f aca="false">IF(A791="","",IF(AND(C791="yes",N(G791)&gt;=7),N(E791),0))</f>
        <v/>
      </c>
      <c r="K791" s="17" t="str">
        <f aca="false">IF(A791="","",A791-WEEKDAY(A791,3))</f>
        <v/>
      </c>
      <c r="L791" s="11"/>
    </row>
    <row r="792" customFormat="false" ht="15" hidden="false" customHeight="false" outlineLevel="0" collapsed="false">
      <c r="A792" s="10"/>
      <c r="B792" s="11"/>
      <c r="C792" s="11"/>
      <c r="D792" s="11"/>
      <c r="E792" s="11"/>
      <c r="F792" s="11"/>
      <c r="G792" s="11"/>
      <c r="H792" s="15" t="str">
        <f aca="false">IF(OR(D792="",F792=""),"",IF(F792&lt;=1,D792,D792*(1+F792/30)))</f>
        <v/>
      </c>
      <c r="I792" s="15" t="str">
        <f aca="false">IF(OR(D792="",F792="",G792=""),"",IF(F792+MAX(0,10-G792)&lt;=1,D792,D792*(1+(F792+MAX(0,10-G792))/30)))</f>
        <v/>
      </c>
      <c r="J792" s="16" t="str">
        <f aca="false">IF(A792="","",IF(AND(C792="yes",N(G792)&gt;=7),N(E792),0))</f>
        <v/>
      </c>
      <c r="K792" s="17" t="str">
        <f aca="false">IF(A792="","",A792-WEEKDAY(A792,3))</f>
        <v/>
      </c>
      <c r="L792" s="11"/>
    </row>
    <row r="793" customFormat="false" ht="15" hidden="false" customHeight="false" outlineLevel="0" collapsed="false">
      <c r="A793" s="10"/>
      <c r="B793" s="11"/>
      <c r="C793" s="11"/>
      <c r="D793" s="11"/>
      <c r="E793" s="11"/>
      <c r="F793" s="11"/>
      <c r="G793" s="11"/>
      <c r="H793" s="15" t="str">
        <f aca="false">IF(OR(D793="",F793=""),"",IF(F793&lt;=1,D793,D793*(1+F793/30)))</f>
        <v/>
      </c>
      <c r="I793" s="15" t="str">
        <f aca="false">IF(OR(D793="",F793="",G793=""),"",IF(F793+MAX(0,10-G793)&lt;=1,D793,D793*(1+(F793+MAX(0,10-G793))/30)))</f>
        <v/>
      </c>
      <c r="J793" s="16" t="str">
        <f aca="false">IF(A793="","",IF(AND(C793="yes",N(G793)&gt;=7),N(E793),0))</f>
        <v/>
      </c>
      <c r="K793" s="17" t="str">
        <f aca="false">IF(A793="","",A793-WEEKDAY(A793,3))</f>
        <v/>
      </c>
      <c r="L793" s="11"/>
    </row>
    <row r="794" customFormat="false" ht="15" hidden="false" customHeight="false" outlineLevel="0" collapsed="false">
      <c r="A794" s="10"/>
      <c r="B794" s="11"/>
      <c r="C794" s="11"/>
      <c r="D794" s="11"/>
      <c r="E794" s="11"/>
      <c r="F794" s="11"/>
      <c r="G794" s="11"/>
      <c r="H794" s="15" t="str">
        <f aca="false">IF(OR(D794="",F794=""),"",IF(F794&lt;=1,D794,D794*(1+F794/30)))</f>
        <v/>
      </c>
      <c r="I794" s="15" t="str">
        <f aca="false">IF(OR(D794="",F794="",G794=""),"",IF(F794+MAX(0,10-G794)&lt;=1,D794,D794*(1+(F794+MAX(0,10-G794))/30)))</f>
        <v/>
      </c>
      <c r="J794" s="16" t="str">
        <f aca="false">IF(A794="","",IF(AND(C794="yes",N(G794)&gt;=7),N(E794),0))</f>
        <v/>
      </c>
      <c r="K794" s="17" t="str">
        <f aca="false">IF(A794="","",A794-WEEKDAY(A794,3))</f>
        <v/>
      </c>
      <c r="L794" s="11"/>
    </row>
    <row r="795" customFormat="false" ht="15" hidden="false" customHeight="false" outlineLevel="0" collapsed="false">
      <c r="A795" s="10"/>
      <c r="B795" s="11"/>
      <c r="C795" s="11"/>
      <c r="D795" s="11"/>
      <c r="E795" s="11"/>
      <c r="F795" s="11"/>
      <c r="G795" s="11"/>
      <c r="H795" s="15" t="str">
        <f aca="false">IF(OR(D795="",F795=""),"",IF(F795&lt;=1,D795,D795*(1+F795/30)))</f>
        <v/>
      </c>
      <c r="I795" s="15" t="str">
        <f aca="false">IF(OR(D795="",F795="",G795=""),"",IF(F795+MAX(0,10-G795)&lt;=1,D795,D795*(1+(F795+MAX(0,10-G795))/30)))</f>
        <v/>
      </c>
      <c r="J795" s="16" t="str">
        <f aca="false">IF(A795="","",IF(AND(C795="yes",N(G795)&gt;=7),N(E795),0))</f>
        <v/>
      </c>
      <c r="K795" s="17" t="str">
        <f aca="false">IF(A795="","",A795-WEEKDAY(A795,3))</f>
        <v/>
      </c>
      <c r="L795" s="11"/>
    </row>
    <row r="796" customFormat="false" ht="15" hidden="false" customHeight="false" outlineLevel="0" collapsed="false">
      <c r="A796" s="10"/>
      <c r="B796" s="11"/>
      <c r="C796" s="11"/>
      <c r="D796" s="11"/>
      <c r="E796" s="11"/>
      <c r="F796" s="11"/>
      <c r="G796" s="11"/>
      <c r="H796" s="15" t="str">
        <f aca="false">IF(OR(D796="",F796=""),"",IF(F796&lt;=1,D796,D796*(1+F796/30)))</f>
        <v/>
      </c>
      <c r="I796" s="15" t="str">
        <f aca="false">IF(OR(D796="",F796="",G796=""),"",IF(F796+MAX(0,10-G796)&lt;=1,D796,D796*(1+(F796+MAX(0,10-G796))/30)))</f>
        <v/>
      </c>
      <c r="J796" s="16" t="str">
        <f aca="false">IF(A796="","",IF(AND(C796="yes",N(G796)&gt;=7),N(E796),0))</f>
        <v/>
      </c>
      <c r="K796" s="17" t="str">
        <f aca="false">IF(A796="","",A796-WEEKDAY(A796,3))</f>
        <v/>
      </c>
      <c r="L796" s="11"/>
    </row>
    <row r="797" customFormat="false" ht="15" hidden="false" customHeight="false" outlineLevel="0" collapsed="false">
      <c r="A797" s="10"/>
      <c r="B797" s="11"/>
      <c r="C797" s="11"/>
      <c r="D797" s="11"/>
      <c r="E797" s="11"/>
      <c r="F797" s="11"/>
      <c r="G797" s="11"/>
      <c r="H797" s="15" t="str">
        <f aca="false">IF(OR(D797="",F797=""),"",IF(F797&lt;=1,D797,D797*(1+F797/30)))</f>
        <v/>
      </c>
      <c r="I797" s="15" t="str">
        <f aca="false">IF(OR(D797="",F797="",G797=""),"",IF(F797+MAX(0,10-G797)&lt;=1,D797,D797*(1+(F797+MAX(0,10-G797))/30)))</f>
        <v/>
      </c>
      <c r="J797" s="16" t="str">
        <f aca="false">IF(A797="","",IF(AND(C797="yes",N(G797)&gt;=7),N(E797),0))</f>
        <v/>
      </c>
      <c r="K797" s="17" t="str">
        <f aca="false">IF(A797="","",A797-WEEKDAY(A797,3))</f>
        <v/>
      </c>
      <c r="L797" s="11"/>
    </row>
    <row r="798" customFormat="false" ht="15" hidden="false" customHeight="false" outlineLevel="0" collapsed="false">
      <c r="A798" s="10"/>
      <c r="B798" s="11"/>
      <c r="C798" s="11"/>
      <c r="D798" s="11"/>
      <c r="E798" s="11"/>
      <c r="F798" s="11"/>
      <c r="G798" s="11"/>
      <c r="H798" s="15" t="str">
        <f aca="false">IF(OR(D798="",F798=""),"",IF(F798&lt;=1,D798,D798*(1+F798/30)))</f>
        <v/>
      </c>
      <c r="I798" s="15" t="str">
        <f aca="false">IF(OR(D798="",F798="",G798=""),"",IF(F798+MAX(0,10-G798)&lt;=1,D798,D798*(1+(F798+MAX(0,10-G798))/30)))</f>
        <v/>
      </c>
      <c r="J798" s="16" t="str">
        <f aca="false">IF(A798="","",IF(AND(C798="yes",N(G798)&gt;=7),N(E798),0))</f>
        <v/>
      </c>
      <c r="K798" s="17" t="str">
        <f aca="false">IF(A798="","",A798-WEEKDAY(A798,3))</f>
        <v/>
      </c>
      <c r="L798" s="11"/>
    </row>
    <row r="799" customFormat="false" ht="15" hidden="false" customHeight="false" outlineLevel="0" collapsed="false">
      <c r="A799" s="10"/>
      <c r="B799" s="11"/>
      <c r="C799" s="11"/>
      <c r="D799" s="11"/>
      <c r="E799" s="11"/>
      <c r="F799" s="11"/>
      <c r="G799" s="11"/>
      <c r="H799" s="15" t="str">
        <f aca="false">IF(OR(D799="",F799=""),"",IF(F799&lt;=1,D799,D799*(1+F799/30)))</f>
        <v/>
      </c>
      <c r="I799" s="15" t="str">
        <f aca="false">IF(OR(D799="",F799="",G799=""),"",IF(F799+MAX(0,10-G799)&lt;=1,D799,D799*(1+(F799+MAX(0,10-G799))/30)))</f>
        <v/>
      </c>
      <c r="J799" s="16" t="str">
        <f aca="false">IF(A799="","",IF(AND(C799="yes",N(G799)&gt;=7),N(E799),0))</f>
        <v/>
      </c>
      <c r="K799" s="17" t="str">
        <f aca="false">IF(A799="","",A799-WEEKDAY(A799,3))</f>
        <v/>
      </c>
      <c r="L799" s="11"/>
    </row>
    <row r="800" customFormat="false" ht="15" hidden="false" customHeight="false" outlineLevel="0" collapsed="false">
      <c r="A800" s="10"/>
      <c r="B800" s="11"/>
      <c r="C800" s="11"/>
      <c r="D800" s="11"/>
      <c r="E800" s="11"/>
      <c r="F800" s="11"/>
      <c r="G800" s="11"/>
      <c r="H800" s="15" t="str">
        <f aca="false">IF(OR(D800="",F800=""),"",IF(F800&lt;=1,D800,D800*(1+F800/30)))</f>
        <v/>
      </c>
      <c r="I800" s="15" t="str">
        <f aca="false">IF(OR(D800="",F800="",G800=""),"",IF(F800+MAX(0,10-G800)&lt;=1,D800,D800*(1+(F800+MAX(0,10-G800))/30)))</f>
        <v/>
      </c>
      <c r="J800" s="16" t="str">
        <f aca="false">IF(A800="","",IF(AND(C800="yes",N(G800)&gt;=7),N(E800),0))</f>
        <v/>
      </c>
      <c r="K800" s="17" t="str">
        <f aca="false">IF(A800="","",A800-WEEKDAY(A800,3))</f>
        <v/>
      </c>
      <c r="L800" s="11"/>
    </row>
    <row r="801" customFormat="false" ht="15" hidden="false" customHeight="false" outlineLevel="0" collapsed="false">
      <c r="A801" s="10"/>
      <c r="B801" s="11"/>
      <c r="C801" s="11"/>
      <c r="D801" s="11"/>
      <c r="E801" s="11"/>
      <c r="F801" s="11"/>
      <c r="G801" s="11"/>
      <c r="H801" s="15" t="str">
        <f aca="false">IF(OR(D801="",F801=""),"",IF(F801&lt;=1,D801,D801*(1+F801/30)))</f>
        <v/>
      </c>
      <c r="I801" s="15" t="str">
        <f aca="false">IF(OR(D801="",F801="",G801=""),"",IF(F801+MAX(0,10-G801)&lt;=1,D801,D801*(1+(F801+MAX(0,10-G801))/30)))</f>
        <v/>
      </c>
      <c r="J801" s="16" t="str">
        <f aca="false">IF(A801="","",IF(AND(C801="yes",N(G801)&gt;=7),N(E801),0))</f>
        <v/>
      </c>
      <c r="K801" s="17" t="str">
        <f aca="false">IF(A801="","",A801-WEEKDAY(A801,3))</f>
        <v/>
      </c>
      <c r="L801" s="11"/>
    </row>
    <row r="802" customFormat="false" ht="15" hidden="false" customHeight="false" outlineLevel="0" collapsed="false">
      <c r="A802" s="10"/>
      <c r="B802" s="11"/>
      <c r="C802" s="11"/>
      <c r="D802" s="11"/>
      <c r="E802" s="11"/>
      <c r="F802" s="11"/>
      <c r="G802" s="11"/>
      <c r="H802" s="15" t="str">
        <f aca="false">IF(OR(D802="",F802=""),"",IF(F802&lt;=1,D802,D802*(1+F802/30)))</f>
        <v/>
      </c>
      <c r="I802" s="15" t="str">
        <f aca="false">IF(OR(D802="",F802="",G802=""),"",IF(F802+MAX(0,10-G802)&lt;=1,D802,D802*(1+(F802+MAX(0,10-G802))/30)))</f>
        <v/>
      </c>
      <c r="J802" s="16" t="str">
        <f aca="false">IF(A802="","",IF(AND(C802="yes",N(G802)&gt;=7),N(E802),0))</f>
        <v/>
      </c>
      <c r="K802" s="17" t="str">
        <f aca="false">IF(A802="","",A802-WEEKDAY(A802,3))</f>
        <v/>
      </c>
      <c r="L802" s="11"/>
    </row>
    <row r="803" customFormat="false" ht="15" hidden="false" customHeight="false" outlineLevel="0" collapsed="false">
      <c r="A803" s="10"/>
      <c r="B803" s="11"/>
      <c r="C803" s="11"/>
      <c r="D803" s="11"/>
      <c r="E803" s="11"/>
      <c r="F803" s="11"/>
      <c r="G803" s="11"/>
      <c r="H803" s="15" t="str">
        <f aca="false">IF(OR(D803="",F803=""),"",IF(F803&lt;=1,D803,D803*(1+F803/30)))</f>
        <v/>
      </c>
      <c r="I803" s="15" t="str">
        <f aca="false">IF(OR(D803="",F803="",G803=""),"",IF(F803+MAX(0,10-G803)&lt;=1,D803,D803*(1+(F803+MAX(0,10-G803))/30)))</f>
        <v/>
      </c>
      <c r="J803" s="16" t="str">
        <f aca="false">IF(A803="","",IF(AND(C803="yes",N(G803)&gt;=7),N(E803),0))</f>
        <v/>
      </c>
      <c r="K803" s="17" t="str">
        <f aca="false">IF(A803="","",A803-WEEKDAY(A803,3))</f>
        <v/>
      </c>
      <c r="L803" s="11"/>
    </row>
    <row r="804" customFormat="false" ht="15" hidden="false" customHeight="false" outlineLevel="0" collapsed="false">
      <c r="A804" s="10"/>
      <c r="B804" s="11"/>
      <c r="C804" s="11"/>
      <c r="D804" s="11"/>
      <c r="E804" s="11"/>
      <c r="F804" s="11"/>
      <c r="G804" s="11"/>
      <c r="H804" s="15" t="str">
        <f aca="false">IF(OR(D804="",F804=""),"",IF(F804&lt;=1,D804,D804*(1+F804/30)))</f>
        <v/>
      </c>
      <c r="I804" s="15" t="str">
        <f aca="false">IF(OR(D804="",F804="",G804=""),"",IF(F804+MAX(0,10-G804)&lt;=1,D804,D804*(1+(F804+MAX(0,10-G804))/30)))</f>
        <v/>
      </c>
      <c r="J804" s="16" t="str">
        <f aca="false">IF(A804="","",IF(AND(C804="yes",N(G804)&gt;=7),N(E804),0))</f>
        <v/>
      </c>
      <c r="K804" s="17" t="str">
        <f aca="false">IF(A804="","",A804-WEEKDAY(A804,3))</f>
        <v/>
      </c>
      <c r="L804" s="11"/>
    </row>
    <row r="805" customFormat="false" ht="15" hidden="false" customHeight="false" outlineLevel="0" collapsed="false">
      <c r="A805" s="10"/>
      <c r="B805" s="11"/>
      <c r="C805" s="11"/>
      <c r="D805" s="11"/>
      <c r="E805" s="11"/>
      <c r="F805" s="11"/>
      <c r="G805" s="11"/>
      <c r="H805" s="15" t="str">
        <f aca="false">IF(OR(D805="",F805=""),"",IF(F805&lt;=1,D805,D805*(1+F805/30)))</f>
        <v/>
      </c>
      <c r="I805" s="15" t="str">
        <f aca="false">IF(OR(D805="",F805="",G805=""),"",IF(F805+MAX(0,10-G805)&lt;=1,D805,D805*(1+(F805+MAX(0,10-G805))/30)))</f>
        <v/>
      </c>
      <c r="J805" s="16" t="str">
        <f aca="false">IF(A805="","",IF(AND(C805="yes",N(G805)&gt;=7),N(E805),0))</f>
        <v/>
      </c>
      <c r="K805" s="17" t="str">
        <f aca="false">IF(A805="","",A805-WEEKDAY(A805,3))</f>
        <v/>
      </c>
      <c r="L805" s="11"/>
    </row>
    <row r="806" customFormat="false" ht="15" hidden="false" customHeight="false" outlineLevel="0" collapsed="false">
      <c r="A806" s="10"/>
      <c r="B806" s="11"/>
      <c r="C806" s="11"/>
      <c r="D806" s="11"/>
      <c r="E806" s="11"/>
      <c r="F806" s="11"/>
      <c r="G806" s="11"/>
      <c r="H806" s="15" t="str">
        <f aca="false">IF(OR(D806="",F806=""),"",IF(F806&lt;=1,D806,D806*(1+F806/30)))</f>
        <v/>
      </c>
      <c r="I806" s="15" t="str">
        <f aca="false">IF(OR(D806="",F806="",G806=""),"",IF(F806+MAX(0,10-G806)&lt;=1,D806,D806*(1+(F806+MAX(0,10-G806))/30)))</f>
        <v/>
      </c>
      <c r="J806" s="16" t="str">
        <f aca="false">IF(A806="","",IF(AND(C806="yes",N(G806)&gt;=7),N(E806),0))</f>
        <v/>
      </c>
      <c r="K806" s="17" t="str">
        <f aca="false">IF(A806="","",A806-WEEKDAY(A806,3))</f>
        <v/>
      </c>
      <c r="L806" s="11"/>
    </row>
    <row r="807" customFormat="false" ht="15" hidden="false" customHeight="false" outlineLevel="0" collapsed="false">
      <c r="A807" s="10"/>
      <c r="B807" s="11"/>
      <c r="C807" s="11"/>
      <c r="D807" s="11"/>
      <c r="E807" s="11"/>
      <c r="F807" s="11"/>
      <c r="G807" s="11"/>
      <c r="H807" s="15" t="str">
        <f aca="false">IF(OR(D807="",F807=""),"",IF(F807&lt;=1,D807,D807*(1+F807/30)))</f>
        <v/>
      </c>
      <c r="I807" s="15" t="str">
        <f aca="false">IF(OR(D807="",F807="",G807=""),"",IF(F807+MAX(0,10-G807)&lt;=1,D807,D807*(1+(F807+MAX(0,10-G807))/30)))</f>
        <v/>
      </c>
      <c r="J807" s="16" t="str">
        <f aca="false">IF(A807="","",IF(AND(C807="yes",N(G807)&gt;=7),N(E807),0))</f>
        <v/>
      </c>
      <c r="K807" s="17" t="str">
        <f aca="false">IF(A807="","",A807-WEEKDAY(A807,3))</f>
        <v/>
      </c>
      <c r="L807" s="11"/>
    </row>
    <row r="808" customFormat="false" ht="15" hidden="false" customHeight="false" outlineLevel="0" collapsed="false">
      <c r="A808" s="10"/>
      <c r="B808" s="11"/>
      <c r="C808" s="11"/>
      <c r="D808" s="11"/>
      <c r="E808" s="11"/>
      <c r="F808" s="11"/>
      <c r="G808" s="11"/>
      <c r="H808" s="15" t="str">
        <f aca="false">IF(OR(D808="",F808=""),"",IF(F808&lt;=1,D808,D808*(1+F808/30)))</f>
        <v/>
      </c>
      <c r="I808" s="15" t="str">
        <f aca="false">IF(OR(D808="",F808="",G808=""),"",IF(F808+MAX(0,10-G808)&lt;=1,D808,D808*(1+(F808+MAX(0,10-G808))/30)))</f>
        <v/>
      </c>
      <c r="J808" s="16" t="str">
        <f aca="false">IF(A808="","",IF(AND(C808="yes",N(G808)&gt;=7),N(E808),0))</f>
        <v/>
      </c>
      <c r="K808" s="17" t="str">
        <f aca="false">IF(A808="","",A808-WEEKDAY(A808,3))</f>
        <v/>
      </c>
      <c r="L808" s="11"/>
    </row>
    <row r="809" customFormat="false" ht="15" hidden="false" customHeight="false" outlineLevel="0" collapsed="false">
      <c r="A809" s="10"/>
      <c r="B809" s="11"/>
      <c r="C809" s="11"/>
      <c r="D809" s="11"/>
      <c r="E809" s="11"/>
      <c r="F809" s="11"/>
      <c r="G809" s="11"/>
      <c r="H809" s="15" t="str">
        <f aca="false">IF(OR(D809="",F809=""),"",IF(F809&lt;=1,D809,D809*(1+F809/30)))</f>
        <v/>
      </c>
      <c r="I809" s="15" t="str">
        <f aca="false">IF(OR(D809="",F809="",G809=""),"",IF(F809+MAX(0,10-G809)&lt;=1,D809,D809*(1+(F809+MAX(0,10-G809))/30)))</f>
        <v/>
      </c>
      <c r="J809" s="16" t="str">
        <f aca="false">IF(A809="","",IF(AND(C809="yes",N(G809)&gt;=7),N(E809),0))</f>
        <v/>
      </c>
      <c r="K809" s="17" t="str">
        <f aca="false">IF(A809="","",A809-WEEKDAY(A809,3))</f>
        <v/>
      </c>
      <c r="L809" s="11"/>
    </row>
    <row r="810" customFormat="false" ht="15" hidden="false" customHeight="false" outlineLevel="0" collapsed="false">
      <c r="A810" s="10"/>
      <c r="B810" s="11"/>
      <c r="C810" s="11"/>
      <c r="D810" s="11"/>
      <c r="E810" s="11"/>
      <c r="F810" s="11"/>
      <c r="G810" s="11"/>
      <c r="H810" s="15" t="str">
        <f aca="false">IF(OR(D810="",F810=""),"",IF(F810&lt;=1,D810,D810*(1+F810/30)))</f>
        <v/>
      </c>
      <c r="I810" s="15" t="str">
        <f aca="false">IF(OR(D810="",F810="",G810=""),"",IF(F810+MAX(0,10-G810)&lt;=1,D810,D810*(1+(F810+MAX(0,10-G810))/30)))</f>
        <v/>
      </c>
      <c r="J810" s="16" t="str">
        <f aca="false">IF(A810="","",IF(AND(C810="yes",N(G810)&gt;=7),N(E810),0))</f>
        <v/>
      </c>
      <c r="K810" s="17" t="str">
        <f aca="false">IF(A810="","",A810-WEEKDAY(A810,3))</f>
        <v/>
      </c>
      <c r="L810" s="11"/>
    </row>
    <row r="811" customFormat="false" ht="15" hidden="false" customHeight="false" outlineLevel="0" collapsed="false">
      <c r="A811" s="10"/>
      <c r="B811" s="11"/>
      <c r="C811" s="11"/>
      <c r="D811" s="11"/>
      <c r="E811" s="11"/>
      <c r="F811" s="11"/>
      <c r="G811" s="11"/>
      <c r="H811" s="15" t="str">
        <f aca="false">IF(OR(D811="",F811=""),"",IF(F811&lt;=1,D811,D811*(1+F811/30)))</f>
        <v/>
      </c>
      <c r="I811" s="15" t="str">
        <f aca="false">IF(OR(D811="",F811="",G811=""),"",IF(F811+MAX(0,10-G811)&lt;=1,D811,D811*(1+(F811+MAX(0,10-G811))/30)))</f>
        <v/>
      </c>
      <c r="J811" s="16" t="str">
        <f aca="false">IF(A811="","",IF(AND(C811="yes",N(G811)&gt;=7),N(E811),0))</f>
        <v/>
      </c>
      <c r="K811" s="17" t="str">
        <f aca="false">IF(A811="","",A811-WEEKDAY(A811,3))</f>
        <v/>
      </c>
      <c r="L811" s="11"/>
    </row>
    <row r="812" customFormat="false" ht="15" hidden="false" customHeight="false" outlineLevel="0" collapsed="false">
      <c r="A812" s="10"/>
      <c r="B812" s="11"/>
      <c r="C812" s="11"/>
      <c r="D812" s="11"/>
      <c r="E812" s="11"/>
      <c r="F812" s="11"/>
      <c r="G812" s="11"/>
      <c r="H812" s="15" t="str">
        <f aca="false">IF(OR(D812="",F812=""),"",IF(F812&lt;=1,D812,D812*(1+F812/30)))</f>
        <v/>
      </c>
      <c r="I812" s="15" t="str">
        <f aca="false">IF(OR(D812="",F812="",G812=""),"",IF(F812+MAX(0,10-G812)&lt;=1,D812,D812*(1+(F812+MAX(0,10-G812))/30)))</f>
        <v/>
      </c>
      <c r="J812" s="16" t="str">
        <f aca="false">IF(A812="","",IF(AND(C812="yes",N(G812)&gt;=7),N(E812),0))</f>
        <v/>
      </c>
      <c r="K812" s="17" t="str">
        <f aca="false">IF(A812="","",A812-WEEKDAY(A812,3))</f>
        <v/>
      </c>
      <c r="L812" s="11"/>
    </row>
    <row r="813" customFormat="false" ht="15" hidden="false" customHeight="false" outlineLevel="0" collapsed="false">
      <c r="A813" s="10"/>
      <c r="B813" s="11"/>
      <c r="C813" s="11"/>
      <c r="D813" s="11"/>
      <c r="E813" s="11"/>
      <c r="F813" s="11"/>
      <c r="G813" s="11"/>
      <c r="H813" s="15" t="str">
        <f aca="false">IF(OR(D813="",F813=""),"",IF(F813&lt;=1,D813,D813*(1+F813/30)))</f>
        <v/>
      </c>
      <c r="I813" s="15" t="str">
        <f aca="false">IF(OR(D813="",F813="",G813=""),"",IF(F813+MAX(0,10-G813)&lt;=1,D813,D813*(1+(F813+MAX(0,10-G813))/30)))</f>
        <v/>
      </c>
      <c r="J813" s="16" t="str">
        <f aca="false">IF(A813="","",IF(AND(C813="yes",N(G813)&gt;=7),N(E813),0))</f>
        <v/>
      </c>
      <c r="K813" s="17" t="str">
        <f aca="false">IF(A813="","",A813-WEEKDAY(A813,3))</f>
        <v/>
      </c>
      <c r="L813" s="11"/>
    </row>
    <row r="814" customFormat="false" ht="15" hidden="false" customHeight="false" outlineLevel="0" collapsed="false">
      <c r="A814" s="10"/>
      <c r="B814" s="11"/>
      <c r="C814" s="11"/>
      <c r="D814" s="11"/>
      <c r="E814" s="11"/>
      <c r="F814" s="11"/>
      <c r="G814" s="11"/>
      <c r="H814" s="15" t="str">
        <f aca="false">IF(OR(D814="",F814=""),"",IF(F814&lt;=1,D814,D814*(1+F814/30)))</f>
        <v/>
      </c>
      <c r="I814" s="15" t="str">
        <f aca="false">IF(OR(D814="",F814="",G814=""),"",IF(F814+MAX(0,10-G814)&lt;=1,D814,D814*(1+(F814+MAX(0,10-G814))/30)))</f>
        <v/>
      </c>
      <c r="J814" s="16" t="str">
        <f aca="false">IF(A814="","",IF(AND(C814="yes",N(G814)&gt;=7),N(E814),0))</f>
        <v/>
      </c>
      <c r="K814" s="17" t="str">
        <f aca="false">IF(A814="","",A814-WEEKDAY(A814,3))</f>
        <v/>
      </c>
      <c r="L814" s="11"/>
    </row>
    <row r="815" customFormat="false" ht="15" hidden="false" customHeight="false" outlineLevel="0" collapsed="false">
      <c r="A815" s="10"/>
      <c r="B815" s="11"/>
      <c r="C815" s="11"/>
      <c r="D815" s="11"/>
      <c r="E815" s="11"/>
      <c r="F815" s="11"/>
      <c r="G815" s="11"/>
      <c r="H815" s="15" t="str">
        <f aca="false">IF(OR(D815="",F815=""),"",IF(F815&lt;=1,D815,D815*(1+F815/30)))</f>
        <v/>
      </c>
      <c r="I815" s="15" t="str">
        <f aca="false">IF(OR(D815="",F815="",G815=""),"",IF(F815+MAX(0,10-G815)&lt;=1,D815,D815*(1+(F815+MAX(0,10-G815))/30)))</f>
        <v/>
      </c>
      <c r="J815" s="16" t="str">
        <f aca="false">IF(A815="","",IF(AND(C815="yes",N(G815)&gt;=7),N(E815),0))</f>
        <v/>
      </c>
      <c r="K815" s="17" t="str">
        <f aca="false">IF(A815="","",A815-WEEKDAY(A815,3))</f>
        <v/>
      </c>
      <c r="L815" s="11"/>
    </row>
    <row r="816" customFormat="false" ht="15" hidden="false" customHeight="false" outlineLevel="0" collapsed="false">
      <c r="A816" s="10"/>
      <c r="B816" s="11"/>
      <c r="C816" s="11"/>
      <c r="D816" s="11"/>
      <c r="E816" s="11"/>
      <c r="F816" s="11"/>
      <c r="G816" s="11"/>
      <c r="H816" s="15" t="str">
        <f aca="false">IF(OR(D816="",F816=""),"",IF(F816&lt;=1,D816,D816*(1+F816/30)))</f>
        <v/>
      </c>
      <c r="I816" s="15" t="str">
        <f aca="false">IF(OR(D816="",F816="",G816=""),"",IF(F816+MAX(0,10-G816)&lt;=1,D816,D816*(1+(F816+MAX(0,10-G816))/30)))</f>
        <v/>
      </c>
      <c r="J816" s="16" t="str">
        <f aca="false">IF(A816="","",IF(AND(C816="yes",N(G816)&gt;=7),N(E816),0))</f>
        <v/>
      </c>
      <c r="K816" s="17" t="str">
        <f aca="false">IF(A816="","",A816-WEEKDAY(A816,3))</f>
        <v/>
      </c>
      <c r="L816" s="11"/>
    </row>
    <row r="817" customFormat="false" ht="15" hidden="false" customHeight="false" outlineLevel="0" collapsed="false">
      <c r="A817" s="10"/>
      <c r="B817" s="11"/>
      <c r="C817" s="11"/>
      <c r="D817" s="11"/>
      <c r="E817" s="11"/>
      <c r="F817" s="11"/>
      <c r="G817" s="11"/>
      <c r="H817" s="15" t="str">
        <f aca="false">IF(OR(D817="",F817=""),"",IF(F817&lt;=1,D817,D817*(1+F817/30)))</f>
        <v/>
      </c>
      <c r="I817" s="15" t="str">
        <f aca="false">IF(OR(D817="",F817="",G817=""),"",IF(F817+MAX(0,10-G817)&lt;=1,D817,D817*(1+(F817+MAX(0,10-G817))/30)))</f>
        <v/>
      </c>
      <c r="J817" s="16" t="str">
        <f aca="false">IF(A817="","",IF(AND(C817="yes",N(G817)&gt;=7),N(E817),0))</f>
        <v/>
      </c>
      <c r="K817" s="17" t="str">
        <f aca="false">IF(A817="","",A817-WEEKDAY(A817,3))</f>
        <v/>
      </c>
      <c r="L817" s="11"/>
    </row>
    <row r="818" customFormat="false" ht="15" hidden="false" customHeight="false" outlineLevel="0" collapsed="false">
      <c r="A818" s="10"/>
      <c r="B818" s="11"/>
      <c r="C818" s="11"/>
      <c r="D818" s="11"/>
      <c r="E818" s="11"/>
      <c r="F818" s="11"/>
      <c r="G818" s="11"/>
      <c r="H818" s="15" t="str">
        <f aca="false">IF(OR(D818="",F818=""),"",IF(F818&lt;=1,D818,D818*(1+F818/30)))</f>
        <v/>
      </c>
      <c r="I818" s="15" t="str">
        <f aca="false">IF(OR(D818="",F818="",G818=""),"",IF(F818+MAX(0,10-G818)&lt;=1,D818,D818*(1+(F818+MAX(0,10-G818))/30)))</f>
        <v/>
      </c>
      <c r="J818" s="16" t="str">
        <f aca="false">IF(A818="","",IF(AND(C818="yes",N(G818)&gt;=7),N(E818),0))</f>
        <v/>
      </c>
      <c r="K818" s="17" t="str">
        <f aca="false">IF(A818="","",A818-WEEKDAY(A818,3))</f>
        <v/>
      </c>
      <c r="L818" s="11"/>
    </row>
    <row r="819" customFormat="false" ht="15" hidden="false" customHeight="false" outlineLevel="0" collapsed="false">
      <c r="A819" s="10"/>
      <c r="B819" s="11"/>
      <c r="C819" s="11"/>
      <c r="D819" s="11"/>
      <c r="E819" s="11"/>
      <c r="F819" s="11"/>
      <c r="G819" s="11"/>
      <c r="H819" s="15" t="str">
        <f aca="false">IF(OR(D819="",F819=""),"",IF(F819&lt;=1,D819,D819*(1+F819/30)))</f>
        <v/>
      </c>
      <c r="I819" s="15" t="str">
        <f aca="false">IF(OR(D819="",F819="",G819=""),"",IF(F819+MAX(0,10-G819)&lt;=1,D819,D819*(1+(F819+MAX(0,10-G819))/30)))</f>
        <v/>
      </c>
      <c r="J819" s="16" t="str">
        <f aca="false">IF(A819="","",IF(AND(C819="yes",N(G819)&gt;=7),N(E819),0))</f>
        <v/>
      </c>
      <c r="K819" s="17" t="str">
        <f aca="false">IF(A819="","",A819-WEEKDAY(A819,3))</f>
        <v/>
      </c>
      <c r="L819" s="11"/>
    </row>
    <row r="820" customFormat="false" ht="15" hidden="false" customHeight="false" outlineLevel="0" collapsed="false">
      <c r="A820" s="10"/>
      <c r="B820" s="11"/>
      <c r="C820" s="11"/>
      <c r="D820" s="11"/>
      <c r="E820" s="11"/>
      <c r="F820" s="11"/>
      <c r="G820" s="11"/>
      <c r="H820" s="15" t="str">
        <f aca="false">IF(OR(D820="",F820=""),"",IF(F820&lt;=1,D820,D820*(1+F820/30)))</f>
        <v/>
      </c>
      <c r="I820" s="15" t="str">
        <f aca="false">IF(OR(D820="",F820="",G820=""),"",IF(F820+MAX(0,10-G820)&lt;=1,D820,D820*(1+(F820+MAX(0,10-G820))/30)))</f>
        <v/>
      </c>
      <c r="J820" s="16" t="str">
        <f aca="false">IF(A820="","",IF(AND(C820="yes",N(G820)&gt;=7),N(E820),0))</f>
        <v/>
      </c>
      <c r="K820" s="17" t="str">
        <f aca="false">IF(A820="","",A820-WEEKDAY(A820,3))</f>
        <v/>
      </c>
      <c r="L820" s="11"/>
    </row>
    <row r="821" customFormat="false" ht="15" hidden="false" customHeight="false" outlineLevel="0" collapsed="false">
      <c r="A821" s="10"/>
      <c r="B821" s="11"/>
      <c r="C821" s="11"/>
      <c r="D821" s="11"/>
      <c r="E821" s="11"/>
      <c r="F821" s="11"/>
      <c r="G821" s="11"/>
      <c r="H821" s="15" t="str">
        <f aca="false">IF(OR(D821="",F821=""),"",IF(F821&lt;=1,D821,D821*(1+F821/30)))</f>
        <v/>
      </c>
      <c r="I821" s="15" t="str">
        <f aca="false">IF(OR(D821="",F821="",G821=""),"",IF(F821+MAX(0,10-G821)&lt;=1,D821,D821*(1+(F821+MAX(0,10-G821))/30)))</f>
        <v/>
      </c>
      <c r="J821" s="16" t="str">
        <f aca="false">IF(A821="","",IF(AND(C821="yes",N(G821)&gt;=7),N(E821),0))</f>
        <v/>
      </c>
      <c r="K821" s="17" t="str">
        <f aca="false">IF(A821="","",A821-WEEKDAY(A821,3))</f>
        <v/>
      </c>
      <c r="L821" s="11"/>
    </row>
    <row r="822" customFormat="false" ht="15" hidden="false" customHeight="false" outlineLevel="0" collapsed="false">
      <c r="A822" s="10"/>
      <c r="B822" s="11"/>
      <c r="C822" s="11"/>
      <c r="D822" s="11"/>
      <c r="E822" s="11"/>
      <c r="F822" s="11"/>
      <c r="G822" s="11"/>
      <c r="H822" s="15" t="str">
        <f aca="false">IF(OR(D822="",F822=""),"",IF(F822&lt;=1,D822,D822*(1+F822/30)))</f>
        <v/>
      </c>
      <c r="I822" s="15" t="str">
        <f aca="false">IF(OR(D822="",F822="",G822=""),"",IF(F822+MAX(0,10-G822)&lt;=1,D822,D822*(1+(F822+MAX(0,10-G822))/30)))</f>
        <v/>
      </c>
      <c r="J822" s="16" t="str">
        <f aca="false">IF(A822="","",IF(AND(C822="yes",N(G822)&gt;=7),N(E822),0))</f>
        <v/>
      </c>
      <c r="K822" s="17" t="str">
        <f aca="false">IF(A822="","",A822-WEEKDAY(A822,3))</f>
        <v/>
      </c>
      <c r="L822" s="11"/>
    </row>
    <row r="823" customFormat="false" ht="15" hidden="false" customHeight="false" outlineLevel="0" collapsed="false">
      <c r="A823" s="10"/>
      <c r="B823" s="11"/>
      <c r="C823" s="11"/>
      <c r="D823" s="11"/>
      <c r="E823" s="11"/>
      <c r="F823" s="11"/>
      <c r="G823" s="11"/>
      <c r="H823" s="15" t="str">
        <f aca="false">IF(OR(D823="",F823=""),"",IF(F823&lt;=1,D823,D823*(1+F823/30)))</f>
        <v/>
      </c>
      <c r="I823" s="15" t="str">
        <f aca="false">IF(OR(D823="",F823="",G823=""),"",IF(F823+MAX(0,10-G823)&lt;=1,D823,D823*(1+(F823+MAX(0,10-G823))/30)))</f>
        <v/>
      </c>
      <c r="J823" s="16" t="str">
        <f aca="false">IF(A823="","",IF(AND(C823="yes",N(G823)&gt;=7),N(E823),0))</f>
        <v/>
      </c>
      <c r="K823" s="17" t="str">
        <f aca="false">IF(A823="","",A823-WEEKDAY(A823,3))</f>
        <v/>
      </c>
      <c r="L823" s="11"/>
    </row>
    <row r="824" customFormat="false" ht="15" hidden="false" customHeight="false" outlineLevel="0" collapsed="false">
      <c r="A824" s="10"/>
      <c r="B824" s="11"/>
      <c r="C824" s="11"/>
      <c r="D824" s="11"/>
      <c r="E824" s="11"/>
      <c r="F824" s="11"/>
      <c r="G824" s="11"/>
      <c r="H824" s="15" t="str">
        <f aca="false">IF(OR(D824="",F824=""),"",IF(F824&lt;=1,D824,D824*(1+F824/30)))</f>
        <v/>
      </c>
      <c r="I824" s="15" t="str">
        <f aca="false">IF(OR(D824="",F824="",G824=""),"",IF(F824+MAX(0,10-G824)&lt;=1,D824,D824*(1+(F824+MAX(0,10-G824))/30)))</f>
        <v/>
      </c>
      <c r="J824" s="16" t="str">
        <f aca="false">IF(A824="","",IF(AND(C824="yes",N(G824)&gt;=7),N(E824),0))</f>
        <v/>
      </c>
      <c r="K824" s="17" t="str">
        <f aca="false">IF(A824="","",A824-WEEKDAY(A824,3))</f>
        <v/>
      </c>
      <c r="L824" s="11"/>
    </row>
    <row r="825" customFormat="false" ht="15" hidden="false" customHeight="false" outlineLevel="0" collapsed="false">
      <c r="A825" s="10"/>
      <c r="B825" s="11"/>
      <c r="C825" s="11"/>
      <c r="D825" s="11"/>
      <c r="E825" s="11"/>
      <c r="F825" s="11"/>
      <c r="G825" s="11"/>
      <c r="H825" s="15" t="str">
        <f aca="false">IF(OR(D825="",F825=""),"",IF(F825&lt;=1,D825,D825*(1+F825/30)))</f>
        <v/>
      </c>
      <c r="I825" s="15" t="str">
        <f aca="false">IF(OR(D825="",F825="",G825=""),"",IF(F825+MAX(0,10-G825)&lt;=1,D825,D825*(1+(F825+MAX(0,10-G825))/30)))</f>
        <v/>
      </c>
      <c r="J825" s="16" t="str">
        <f aca="false">IF(A825="","",IF(AND(C825="yes",N(G825)&gt;=7),N(E825),0))</f>
        <v/>
      </c>
      <c r="K825" s="17" t="str">
        <f aca="false">IF(A825="","",A825-WEEKDAY(A825,3))</f>
        <v/>
      </c>
      <c r="L825" s="11"/>
    </row>
    <row r="826" customFormat="false" ht="15" hidden="false" customHeight="false" outlineLevel="0" collapsed="false">
      <c r="A826" s="10"/>
      <c r="B826" s="11"/>
      <c r="C826" s="11"/>
      <c r="D826" s="11"/>
      <c r="E826" s="11"/>
      <c r="F826" s="11"/>
      <c r="G826" s="11"/>
      <c r="H826" s="15" t="str">
        <f aca="false">IF(OR(D826="",F826=""),"",IF(F826&lt;=1,D826,D826*(1+F826/30)))</f>
        <v/>
      </c>
      <c r="I826" s="15" t="str">
        <f aca="false">IF(OR(D826="",F826="",G826=""),"",IF(F826+MAX(0,10-G826)&lt;=1,D826,D826*(1+(F826+MAX(0,10-G826))/30)))</f>
        <v/>
      </c>
      <c r="J826" s="16" t="str">
        <f aca="false">IF(A826="","",IF(AND(C826="yes",N(G826)&gt;=7),N(E826),0))</f>
        <v/>
      </c>
      <c r="K826" s="17" t="str">
        <f aca="false">IF(A826="","",A826-WEEKDAY(A826,3))</f>
        <v/>
      </c>
      <c r="L826" s="11"/>
    </row>
    <row r="827" customFormat="false" ht="15" hidden="false" customHeight="false" outlineLevel="0" collapsed="false">
      <c r="A827" s="10"/>
      <c r="B827" s="11"/>
      <c r="C827" s="11"/>
      <c r="D827" s="11"/>
      <c r="E827" s="11"/>
      <c r="F827" s="11"/>
      <c r="G827" s="11"/>
      <c r="H827" s="15" t="str">
        <f aca="false">IF(OR(D827="",F827=""),"",IF(F827&lt;=1,D827,D827*(1+F827/30)))</f>
        <v/>
      </c>
      <c r="I827" s="15" t="str">
        <f aca="false">IF(OR(D827="",F827="",G827=""),"",IF(F827+MAX(0,10-G827)&lt;=1,D827,D827*(1+(F827+MAX(0,10-G827))/30)))</f>
        <v/>
      </c>
      <c r="J827" s="16" t="str">
        <f aca="false">IF(A827="","",IF(AND(C827="yes",N(G827)&gt;=7),N(E827),0))</f>
        <v/>
      </c>
      <c r="K827" s="17" t="str">
        <f aca="false">IF(A827="","",A827-WEEKDAY(A827,3))</f>
        <v/>
      </c>
      <c r="L827" s="11"/>
    </row>
    <row r="828" customFormat="false" ht="15" hidden="false" customHeight="false" outlineLevel="0" collapsed="false">
      <c r="A828" s="10"/>
      <c r="B828" s="11"/>
      <c r="C828" s="11"/>
      <c r="D828" s="11"/>
      <c r="E828" s="11"/>
      <c r="F828" s="11"/>
      <c r="G828" s="11"/>
      <c r="H828" s="15" t="str">
        <f aca="false">IF(OR(D828="",F828=""),"",IF(F828&lt;=1,D828,D828*(1+F828/30)))</f>
        <v/>
      </c>
      <c r="I828" s="15" t="str">
        <f aca="false">IF(OR(D828="",F828="",G828=""),"",IF(F828+MAX(0,10-G828)&lt;=1,D828,D828*(1+(F828+MAX(0,10-G828))/30)))</f>
        <v/>
      </c>
      <c r="J828" s="16" t="str">
        <f aca="false">IF(A828="","",IF(AND(C828="yes",N(G828)&gt;=7),N(E828),0))</f>
        <v/>
      </c>
      <c r="K828" s="17" t="str">
        <f aca="false">IF(A828="","",A828-WEEKDAY(A828,3))</f>
        <v/>
      </c>
      <c r="L828" s="11"/>
    </row>
    <row r="829" customFormat="false" ht="15" hidden="false" customHeight="false" outlineLevel="0" collapsed="false">
      <c r="A829" s="10"/>
      <c r="B829" s="11"/>
      <c r="C829" s="11"/>
      <c r="D829" s="11"/>
      <c r="E829" s="11"/>
      <c r="F829" s="11"/>
      <c r="G829" s="11"/>
      <c r="H829" s="15" t="str">
        <f aca="false">IF(OR(D829="",F829=""),"",IF(F829&lt;=1,D829,D829*(1+F829/30)))</f>
        <v/>
      </c>
      <c r="I829" s="15" t="str">
        <f aca="false">IF(OR(D829="",F829="",G829=""),"",IF(F829+MAX(0,10-G829)&lt;=1,D829,D829*(1+(F829+MAX(0,10-G829))/30)))</f>
        <v/>
      </c>
      <c r="J829" s="16" t="str">
        <f aca="false">IF(A829="","",IF(AND(C829="yes",N(G829)&gt;=7),N(E829),0))</f>
        <v/>
      </c>
      <c r="K829" s="17" t="str">
        <f aca="false">IF(A829="","",A829-WEEKDAY(A829,3))</f>
        <v/>
      </c>
      <c r="L829" s="11"/>
    </row>
    <row r="830" customFormat="false" ht="15" hidden="false" customHeight="false" outlineLevel="0" collapsed="false">
      <c r="A830" s="10"/>
      <c r="B830" s="11"/>
      <c r="C830" s="11"/>
      <c r="D830" s="11"/>
      <c r="E830" s="11"/>
      <c r="F830" s="11"/>
      <c r="G830" s="11"/>
      <c r="H830" s="15" t="str">
        <f aca="false">IF(OR(D830="",F830=""),"",IF(F830&lt;=1,D830,D830*(1+F830/30)))</f>
        <v/>
      </c>
      <c r="I830" s="15" t="str">
        <f aca="false">IF(OR(D830="",F830="",G830=""),"",IF(F830+MAX(0,10-G830)&lt;=1,D830,D830*(1+(F830+MAX(0,10-G830))/30)))</f>
        <v/>
      </c>
      <c r="J830" s="16" t="str">
        <f aca="false">IF(A830="","",IF(AND(C830="yes",N(G830)&gt;=7),N(E830),0))</f>
        <v/>
      </c>
      <c r="K830" s="17" t="str">
        <f aca="false">IF(A830="","",A830-WEEKDAY(A830,3))</f>
        <v/>
      </c>
      <c r="L830" s="11"/>
    </row>
    <row r="831" customFormat="false" ht="15" hidden="false" customHeight="false" outlineLevel="0" collapsed="false">
      <c r="A831" s="10"/>
      <c r="B831" s="11"/>
      <c r="C831" s="11"/>
      <c r="D831" s="11"/>
      <c r="E831" s="11"/>
      <c r="F831" s="11"/>
      <c r="G831" s="11"/>
      <c r="H831" s="15" t="str">
        <f aca="false">IF(OR(D831="",F831=""),"",IF(F831&lt;=1,D831,D831*(1+F831/30)))</f>
        <v/>
      </c>
      <c r="I831" s="15" t="str">
        <f aca="false">IF(OR(D831="",F831="",G831=""),"",IF(F831+MAX(0,10-G831)&lt;=1,D831,D831*(1+(F831+MAX(0,10-G831))/30)))</f>
        <v/>
      </c>
      <c r="J831" s="16" t="str">
        <f aca="false">IF(A831="","",IF(AND(C831="yes",N(G831)&gt;=7),N(E831),0))</f>
        <v/>
      </c>
      <c r="K831" s="17" t="str">
        <f aca="false">IF(A831="","",A831-WEEKDAY(A831,3))</f>
        <v/>
      </c>
      <c r="L831" s="11"/>
    </row>
    <row r="832" customFormat="false" ht="15" hidden="false" customHeight="false" outlineLevel="0" collapsed="false">
      <c r="A832" s="10"/>
      <c r="B832" s="11"/>
      <c r="C832" s="11"/>
      <c r="D832" s="11"/>
      <c r="E832" s="11"/>
      <c r="F832" s="11"/>
      <c r="G832" s="11"/>
      <c r="H832" s="15" t="str">
        <f aca="false">IF(OR(D832="",F832=""),"",IF(F832&lt;=1,D832,D832*(1+F832/30)))</f>
        <v/>
      </c>
      <c r="I832" s="15" t="str">
        <f aca="false">IF(OR(D832="",F832="",G832=""),"",IF(F832+MAX(0,10-G832)&lt;=1,D832,D832*(1+(F832+MAX(0,10-G832))/30)))</f>
        <v/>
      </c>
      <c r="J832" s="16" t="str">
        <f aca="false">IF(A832="","",IF(AND(C832="yes",N(G832)&gt;=7),N(E832),0))</f>
        <v/>
      </c>
      <c r="K832" s="17" t="str">
        <f aca="false">IF(A832="","",A832-WEEKDAY(A832,3))</f>
        <v/>
      </c>
      <c r="L832" s="11"/>
    </row>
    <row r="833" customFormat="false" ht="15" hidden="false" customHeight="false" outlineLevel="0" collapsed="false">
      <c r="A833" s="10"/>
      <c r="B833" s="11"/>
      <c r="C833" s="11"/>
      <c r="D833" s="11"/>
      <c r="E833" s="11"/>
      <c r="F833" s="11"/>
      <c r="G833" s="11"/>
      <c r="H833" s="15" t="str">
        <f aca="false">IF(OR(D833="",F833=""),"",IF(F833&lt;=1,D833,D833*(1+F833/30)))</f>
        <v/>
      </c>
      <c r="I833" s="15" t="str">
        <f aca="false">IF(OR(D833="",F833="",G833=""),"",IF(F833+MAX(0,10-G833)&lt;=1,D833,D833*(1+(F833+MAX(0,10-G833))/30)))</f>
        <v/>
      </c>
      <c r="J833" s="16" t="str">
        <f aca="false">IF(A833="","",IF(AND(C833="yes",N(G833)&gt;=7),N(E833),0))</f>
        <v/>
      </c>
      <c r="K833" s="17" t="str">
        <f aca="false">IF(A833="","",A833-WEEKDAY(A833,3))</f>
        <v/>
      </c>
      <c r="L833" s="11"/>
    </row>
    <row r="834" customFormat="false" ht="15" hidden="false" customHeight="false" outlineLevel="0" collapsed="false">
      <c r="A834" s="10"/>
      <c r="B834" s="11"/>
      <c r="C834" s="11"/>
      <c r="D834" s="11"/>
      <c r="E834" s="11"/>
      <c r="F834" s="11"/>
      <c r="G834" s="11"/>
      <c r="H834" s="15" t="str">
        <f aca="false">IF(OR(D834="",F834=""),"",IF(F834&lt;=1,D834,D834*(1+F834/30)))</f>
        <v/>
      </c>
      <c r="I834" s="15" t="str">
        <f aca="false">IF(OR(D834="",F834="",G834=""),"",IF(F834+MAX(0,10-G834)&lt;=1,D834,D834*(1+(F834+MAX(0,10-G834))/30)))</f>
        <v/>
      </c>
      <c r="J834" s="16" t="str">
        <f aca="false">IF(A834="","",IF(AND(C834="yes",N(G834)&gt;=7),N(E834),0))</f>
        <v/>
      </c>
      <c r="K834" s="17" t="str">
        <f aca="false">IF(A834="","",A834-WEEKDAY(A834,3))</f>
        <v/>
      </c>
      <c r="L834" s="11"/>
    </row>
    <row r="835" customFormat="false" ht="15" hidden="false" customHeight="false" outlineLevel="0" collapsed="false">
      <c r="A835" s="10"/>
      <c r="B835" s="11"/>
      <c r="C835" s="11"/>
      <c r="D835" s="11"/>
      <c r="E835" s="11"/>
      <c r="F835" s="11"/>
      <c r="G835" s="11"/>
      <c r="H835" s="15" t="str">
        <f aca="false">IF(OR(D835="",F835=""),"",IF(F835&lt;=1,D835,D835*(1+F835/30)))</f>
        <v/>
      </c>
      <c r="I835" s="15" t="str">
        <f aca="false">IF(OR(D835="",F835="",G835=""),"",IF(F835+MAX(0,10-G835)&lt;=1,D835,D835*(1+(F835+MAX(0,10-G835))/30)))</f>
        <v/>
      </c>
      <c r="J835" s="16" t="str">
        <f aca="false">IF(A835="","",IF(AND(C835="yes",N(G835)&gt;=7),N(E835),0))</f>
        <v/>
      </c>
      <c r="K835" s="17" t="str">
        <f aca="false">IF(A835="","",A835-WEEKDAY(A835,3))</f>
        <v/>
      </c>
      <c r="L835" s="11"/>
    </row>
    <row r="836" customFormat="false" ht="15" hidden="false" customHeight="false" outlineLevel="0" collapsed="false">
      <c r="A836" s="10"/>
      <c r="B836" s="11"/>
      <c r="C836" s="11"/>
      <c r="D836" s="11"/>
      <c r="E836" s="11"/>
      <c r="F836" s="11"/>
      <c r="G836" s="11"/>
      <c r="H836" s="15" t="str">
        <f aca="false">IF(OR(D836="",F836=""),"",IF(F836&lt;=1,D836,D836*(1+F836/30)))</f>
        <v/>
      </c>
      <c r="I836" s="15" t="str">
        <f aca="false">IF(OR(D836="",F836="",G836=""),"",IF(F836+MAX(0,10-G836)&lt;=1,D836,D836*(1+(F836+MAX(0,10-G836))/30)))</f>
        <v/>
      </c>
      <c r="J836" s="16" t="str">
        <f aca="false">IF(A836="","",IF(AND(C836="yes",N(G836)&gt;=7),N(E836),0))</f>
        <v/>
      </c>
      <c r="K836" s="17" t="str">
        <f aca="false">IF(A836="","",A836-WEEKDAY(A836,3))</f>
        <v/>
      </c>
      <c r="L836" s="11"/>
    </row>
    <row r="837" customFormat="false" ht="15" hidden="false" customHeight="false" outlineLevel="0" collapsed="false">
      <c r="A837" s="10"/>
      <c r="B837" s="11"/>
      <c r="C837" s="11"/>
      <c r="D837" s="11"/>
      <c r="E837" s="11"/>
      <c r="F837" s="11"/>
      <c r="G837" s="11"/>
      <c r="H837" s="15" t="str">
        <f aca="false">IF(OR(D837="",F837=""),"",IF(F837&lt;=1,D837,D837*(1+F837/30)))</f>
        <v/>
      </c>
      <c r="I837" s="15" t="str">
        <f aca="false">IF(OR(D837="",F837="",G837=""),"",IF(F837+MAX(0,10-G837)&lt;=1,D837,D837*(1+(F837+MAX(0,10-G837))/30)))</f>
        <v/>
      </c>
      <c r="J837" s="16" t="str">
        <f aca="false">IF(A837="","",IF(AND(C837="yes",N(G837)&gt;=7),N(E837),0))</f>
        <v/>
      </c>
      <c r="K837" s="17" t="str">
        <f aca="false">IF(A837="","",A837-WEEKDAY(A837,3))</f>
        <v/>
      </c>
      <c r="L837" s="11"/>
    </row>
    <row r="838" customFormat="false" ht="15" hidden="false" customHeight="false" outlineLevel="0" collapsed="false">
      <c r="A838" s="10"/>
      <c r="B838" s="11"/>
      <c r="C838" s="11"/>
      <c r="D838" s="11"/>
      <c r="E838" s="11"/>
      <c r="F838" s="11"/>
      <c r="G838" s="11"/>
      <c r="H838" s="15" t="str">
        <f aca="false">IF(OR(D838="",F838=""),"",IF(F838&lt;=1,D838,D838*(1+F838/30)))</f>
        <v/>
      </c>
      <c r="I838" s="15" t="str">
        <f aca="false">IF(OR(D838="",F838="",G838=""),"",IF(F838+MAX(0,10-G838)&lt;=1,D838,D838*(1+(F838+MAX(0,10-G838))/30)))</f>
        <v/>
      </c>
      <c r="J838" s="16" t="str">
        <f aca="false">IF(A838="","",IF(AND(C838="yes",N(G838)&gt;=7),N(E838),0))</f>
        <v/>
      </c>
      <c r="K838" s="17" t="str">
        <f aca="false">IF(A838="","",A838-WEEKDAY(A838,3))</f>
        <v/>
      </c>
      <c r="L838" s="11"/>
    </row>
    <row r="839" customFormat="false" ht="15" hidden="false" customHeight="false" outlineLevel="0" collapsed="false">
      <c r="A839" s="10"/>
      <c r="B839" s="11"/>
      <c r="C839" s="11"/>
      <c r="D839" s="11"/>
      <c r="E839" s="11"/>
      <c r="F839" s="11"/>
      <c r="G839" s="11"/>
      <c r="H839" s="15" t="str">
        <f aca="false">IF(OR(D839="",F839=""),"",IF(F839&lt;=1,D839,D839*(1+F839/30)))</f>
        <v/>
      </c>
      <c r="I839" s="15" t="str">
        <f aca="false">IF(OR(D839="",F839="",G839=""),"",IF(F839+MAX(0,10-G839)&lt;=1,D839,D839*(1+(F839+MAX(0,10-G839))/30)))</f>
        <v/>
      </c>
      <c r="J839" s="16" t="str">
        <f aca="false">IF(A839="","",IF(AND(C839="yes",N(G839)&gt;=7),N(E839),0))</f>
        <v/>
      </c>
      <c r="K839" s="17" t="str">
        <f aca="false">IF(A839="","",A839-WEEKDAY(A839,3))</f>
        <v/>
      </c>
      <c r="L839" s="11"/>
    </row>
    <row r="840" customFormat="false" ht="15" hidden="false" customHeight="false" outlineLevel="0" collapsed="false">
      <c r="A840" s="10"/>
      <c r="B840" s="11"/>
      <c r="C840" s="11"/>
      <c r="D840" s="11"/>
      <c r="E840" s="11"/>
      <c r="F840" s="11"/>
      <c r="G840" s="11"/>
      <c r="H840" s="15" t="str">
        <f aca="false">IF(OR(D840="",F840=""),"",IF(F840&lt;=1,D840,D840*(1+F840/30)))</f>
        <v/>
      </c>
      <c r="I840" s="15" t="str">
        <f aca="false">IF(OR(D840="",F840="",G840=""),"",IF(F840+MAX(0,10-G840)&lt;=1,D840,D840*(1+(F840+MAX(0,10-G840))/30)))</f>
        <v/>
      </c>
      <c r="J840" s="16" t="str">
        <f aca="false">IF(A840="","",IF(AND(C840="yes",N(G840)&gt;=7),N(E840),0))</f>
        <v/>
      </c>
      <c r="K840" s="17" t="str">
        <f aca="false">IF(A840="","",A840-WEEKDAY(A840,3))</f>
        <v/>
      </c>
      <c r="L840" s="11"/>
    </row>
    <row r="841" customFormat="false" ht="15" hidden="false" customHeight="false" outlineLevel="0" collapsed="false">
      <c r="A841" s="10"/>
      <c r="B841" s="11"/>
      <c r="C841" s="11"/>
      <c r="D841" s="11"/>
      <c r="E841" s="11"/>
      <c r="F841" s="11"/>
      <c r="G841" s="11"/>
      <c r="H841" s="15" t="str">
        <f aca="false">IF(OR(D841="",F841=""),"",IF(F841&lt;=1,D841,D841*(1+F841/30)))</f>
        <v/>
      </c>
      <c r="I841" s="15" t="str">
        <f aca="false">IF(OR(D841="",F841="",G841=""),"",IF(F841+MAX(0,10-G841)&lt;=1,D841,D841*(1+(F841+MAX(0,10-G841))/30)))</f>
        <v/>
      </c>
      <c r="J841" s="16" t="str">
        <f aca="false">IF(A841="","",IF(AND(C841="yes",N(G841)&gt;=7),N(E841),0))</f>
        <v/>
      </c>
      <c r="K841" s="17" t="str">
        <f aca="false">IF(A841="","",A841-WEEKDAY(A841,3))</f>
        <v/>
      </c>
      <c r="L841" s="11"/>
    </row>
    <row r="842" customFormat="false" ht="15" hidden="false" customHeight="false" outlineLevel="0" collapsed="false">
      <c r="A842" s="10"/>
      <c r="B842" s="11"/>
      <c r="C842" s="11"/>
      <c r="D842" s="11"/>
      <c r="E842" s="11"/>
      <c r="F842" s="11"/>
      <c r="G842" s="11"/>
      <c r="H842" s="15" t="str">
        <f aca="false">IF(OR(D842="",F842=""),"",IF(F842&lt;=1,D842,D842*(1+F842/30)))</f>
        <v/>
      </c>
      <c r="I842" s="15" t="str">
        <f aca="false">IF(OR(D842="",F842="",G842=""),"",IF(F842+MAX(0,10-G842)&lt;=1,D842,D842*(1+(F842+MAX(0,10-G842))/30)))</f>
        <v/>
      </c>
      <c r="J842" s="16" t="str">
        <f aca="false">IF(A842="","",IF(AND(C842="yes",N(G842)&gt;=7),N(E842),0))</f>
        <v/>
      </c>
      <c r="K842" s="17" t="str">
        <f aca="false">IF(A842="","",A842-WEEKDAY(A842,3))</f>
        <v/>
      </c>
      <c r="L842" s="11"/>
    </row>
    <row r="843" customFormat="false" ht="15" hidden="false" customHeight="false" outlineLevel="0" collapsed="false">
      <c r="A843" s="10"/>
      <c r="B843" s="11"/>
      <c r="C843" s="11"/>
      <c r="D843" s="11"/>
      <c r="E843" s="11"/>
      <c r="F843" s="11"/>
      <c r="G843" s="11"/>
      <c r="H843" s="15" t="str">
        <f aca="false">IF(OR(D843="",F843=""),"",IF(F843&lt;=1,D843,D843*(1+F843/30)))</f>
        <v/>
      </c>
      <c r="I843" s="15" t="str">
        <f aca="false">IF(OR(D843="",F843="",G843=""),"",IF(F843+MAX(0,10-G843)&lt;=1,D843,D843*(1+(F843+MAX(0,10-G843))/30)))</f>
        <v/>
      </c>
      <c r="J843" s="16" t="str">
        <f aca="false">IF(A843="","",IF(AND(C843="yes",N(G843)&gt;=7),N(E843),0))</f>
        <v/>
      </c>
      <c r="K843" s="17" t="str">
        <f aca="false">IF(A843="","",A843-WEEKDAY(A843,3))</f>
        <v/>
      </c>
      <c r="L843" s="11"/>
    </row>
    <row r="844" customFormat="false" ht="15" hidden="false" customHeight="false" outlineLevel="0" collapsed="false">
      <c r="A844" s="10"/>
      <c r="B844" s="11"/>
      <c r="C844" s="11"/>
      <c r="D844" s="11"/>
      <c r="E844" s="11"/>
      <c r="F844" s="11"/>
      <c r="G844" s="11"/>
      <c r="H844" s="15" t="str">
        <f aca="false">IF(OR(D844="",F844=""),"",IF(F844&lt;=1,D844,D844*(1+F844/30)))</f>
        <v/>
      </c>
      <c r="I844" s="15" t="str">
        <f aca="false">IF(OR(D844="",F844="",G844=""),"",IF(F844+MAX(0,10-G844)&lt;=1,D844,D844*(1+(F844+MAX(0,10-G844))/30)))</f>
        <v/>
      </c>
      <c r="J844" s="16" t="str">
        <f aca="false">IF(A844="","",IF(AND(C844="yes",N(G844)&gt;=7),N(E844),0))</f>
        <v/>
      </c>
      <c r="K844" s="17" t="str">
        <f aca="false">IF(A844="","",A844-WEEKDAY(A844,3))</f>
        <v/>
      </c>
      <c r="L844" s="11"/>
    </row>
    <row r="845" customFormat="false" ht="15" hidden="false" customHeight="false" outlineLevel="0" collapsed="false">
      <c r="A845" s="10"/>
      <c r="B845" s="11"/>
      <c r="C845" s="11"/>
      <c r="D845" s="11"/>
      <c r="E845" s="11"/>
      <c r="F845" s="11"/>
      <c r="G845" s="11"/>
      <c r="H845" s="15" t="str">
        <f aca="false">IF(OR(D845="",F845=""),"",IF(F845&lt;=1,D845,D845*(1+F845/30)))</f>
        <v/>
      </c>
      <c r="I845" s="15" t="str">
        <f aca="false">IF(OR(D845="",F845="",G845=""),"",IF(F845+MAX(0,10-G845)&lt;=1,D845,D845*(1+(F845+MAX(0,10-G845))/30)))</f>
        <v/>
      </c>
      <c r="J845" s="16" t="str">
        <f aca="false">IF(A845="","",IF(AND(C845="yes",N(G845)&gt;=7),N(E845),0))</f>
        <v/>
      </c>
      <c r="K845" s="17" t="str">
        <f aca="false">IF(A845="","",A845-WEEKDAY(A845,3))</f>
        <v/>
      </c>
      <c r="L845" s="11"/>
    </row>
    <row r="846" customFormat="false" ht="15" hidden="false" customHeight="false" outlineLevel="0" collapsed="false">
      <c r="A846" s="10"/>
      <c r="B846" s="11"/>
      <c r="C846" s="11"/>
      <c r="D846" s="11"/>
      <c r="E846" s="11"/>
      <c r="F846" s="11"/>
      <c r="G846" s="11"/>
      <c r="H846" s="15" t="str">
        <f aca="false">IF(OR(D846="",F846=""),"",IF(F846&lt;=1,D846,D846*(1+F846/30)))</f>
        <v/>
      </c>
      <c r="I846" s="15" t="str">
        <f aca="false">IF(OR(D846="",F846="",G846=""),"",IF(F846+MAX(0,10-G846)&lt;=1,D846,D846*(1+(F846+MAX(0,10-G846))/30)))</f>
        <v/>
      </c>
      <c r="J846" s="16" t="str">
        <f aca="false">IF(A846="","",IF(AND(C846="yes",N(G846)&gt;=7),N(E846),0))</f>
        <v/>
      </c>
      <c r="K846" s="17" t="str">
        <f aca="false">IF(A846="","",A846-WEEKDAY(A846,3))</f>
        <v/>
      </c>
      <c r="L846" s="11"/>
    </row>
    <row r="847" customFormat="false" ht="15" hidden="false" customHeight="false" outlineLevel="0" collapsed="false">
      <c r="A847" s="10"/>
      <c r="B847" s="11"/>
      <c r="C847" s="11"/>
      <c r="D847" s="11"/>
      <c r="E847" s="11"/>
      <c r="F847" s="11"/>
      <c r="G847" s="11"/>
      <c r="H847" s="15" t="str">
        <f aca="false">IF(OR(D847="",F847=""),"",IF(F847&lt;=1,D847,D847*(1+F847/30)))</f>
        <v/>
      </c>
      <c r="I847" s="15" t="str">
        <f aca="false">IF(OR(D847="",F847="",G847=""),"",IF(F847+MAX(0,10-G847)&lt;=1,D847,D847*(1+(F847+MAX(0,10-G847))/30)))</f>
        <v/>
      </c>
      <c r="J847" s="16" t="str">
        <f aca="false">IF(A847="","",IF(AND(C847="yes",N(G847)&gt;=7),N(E847),0))</f>
        <v/>
      </c>
      <c r="K847" s="17" t="str">
        <f aca="false">IF(A847="","",A847-WEEKDAY(A847,3))</f>
        <v/>
      </c>
      <c r="L847" s="11"/>
    </row>
    <row r="848" customFormat="false" ht="15" hidden="false" customHeight="false" outlineLevel="0" collapsed="false">
      <c r="A848" s="10"/>
      <c r="B848" s="11"/>
      <c r="C848" s="11"/>
      <c r="D848" s="11"/>
      <c r="E848" s="11"/>
      <c r="F848" s="11"/>
      <c r="G848" s="11"/>
      <c r="H848" s="15" t="str">
        <f aca="false">IF(OR(D848="",F848=""),"",IF(F848&lt;=1,D848,D848*(1+F848/30)))</f>
        <v/>
      </c>
      <c r="I848" s="15" t="str">
        <f aca="false">IF(OR(D848="",F848="",G848=""),"",IF(F848+MAX(0,10-G848)&lt;=1,D848,D848*(1+(F848+MAX(0,10-G848))/30)))</f>
        <v/>
      </c>
      <c r="J848" s="16" t="str">
        <f aca="false">IF(A848="","",IF(AND(C848="yes",N(G848)&gt;=7),N(E848),0))</f>
        <v/>
      </c>
      <c r="K848" s="17" t="str">
        <f aca="false">IF(A848="","",A848-WEEKDAY(A848,3))</f>
        <v/>
      </c>
      <c r="L848" s="11"/>
    </row>
    <row r="849" customFormat="false" ht="15" hidden="false" customHeight="false" outlineLevel="0" collapsed="false">
      <c r="A849" s="10"/>
      <c r="B849" s="11"/>
      <c r="C849" s="11"/>
      <c r="D849" s="11"/>
      <c r="E849" s="11"/>
      <c r="F849" s="11"/>
      <c r="G849" s="11"/>
      <c r="H849" s="15" t="str">
        <f aca="false">IF(OR(D849="",F849=""),"",IF(F849&lt;=1,D849,D849*(1+F849/30)))</f>
        <v/>
      </c>
      <c r="I849" s="15" t="str">
        <f aca="false">IF(OR(D849="",F849="",G849=""),"",IF(F849+MAX(0,10-G849)&lt;=1,D849,D849*(1+(F849+MAX(0,10-G849))/30)))</f>
        <v/>
      </c>
      <c r="J849" s="16" t="str">
        <f aca="false">IF(A849="","",IF(AND(C849="yes",N(G849)&gt;=7),N(E849),0))</f>
        <v/>
      </c>
      <c r="K849" s="17" t="str">
        <f aca="false">IF(A849="","",A849-WEEKDAY(A849,3))</f>
        <v/>
      </c>
      <c r="L849" s="11"/>
    </row>
    <row r="850" customFormat="false" ht="15" hidden="false" customHeight="false" outlineLevel="0" collapsed="false">
      <c r="A850" s="10"/>
      <c r="B850" s="11"/>
      <c r="C850" s="11"/>
      <c r="D850" s="11"/>
      <c r="E850" s="11"/>
      <c r="F850" s="11"/>
      <c r="G850" s="11"/>
      <c r="H850" s="15" t="str">
        <f aca="false">IF(OR(D850="",F850=""),"",IF(F850&lt;=1,D850,D850*(1+F850/30)))</f>
        <v/>
      </c>
      <c r="I850" s="15" t="str">
        <f aca="false">IF(OR(D850="",F850="",G850=""),"",IF(F850+MAX(0,10-G850)&lt;=1,D850,D850*(1+(F850+MAX(0,10-G850))/30)))</f>
        <v/>
      </c>
      <c r="J850" s="16" t="str">
        <f aca="false">IF(A850="","",IF(AND(C850="yes",N(G850)&gt;=7),N(E850),0))</f>
        <v/>
      </c>
      <c r="K850" s="17" t="str">
        <f aca="false">IF(A850="","",A850-WEEKDAY(A850,3))</f>
        <v/>
      </c>
      <c r="L850" s="11"/>
    </row>
    <row r="851" customFormat="false" ht="15" hidden="false" customHeight="false" outlineLevel="0" collapsed="false">
      <c r="A851" s="10"/>
      <c r="B851" s="11"/>
      <c r="C851" s="11"/>
      <c r="D851" s="11"/>
      <c r="E851" s="11"/>
      <c r="F851" s="11"/>
      <c r="G851" s="11"/>
      <c r="H851" s="15" t="str">
        <f aca="false">IF(OR(D851="",F851=""),"",IF(F851&lt;=1,D851,D851*(1+F851/30)))</f>
        <v/>
      </c>
      <c r="I851" s="15" t="str">
        <f aca="false">IF(OR(D851="",F851="",G851=""),"",IF(F851+MAX(0,10-G851)&lt;=1,D851,D851*(1+(F851+MAX(0,10-G851))/30)))</f>
        <v/>
      </c>
      <c r="J851" s="16" t="str">
        <f aca="false">IF(A851="","",IF(AND(C851="yes",N(G851)&gt;=7),N(E851),0))</f>
        <v/>
      </c>
      <c r="K851" s="17" t="str">
        <f aca="false">IF(A851="","",A851-WEEKDAY(A851,3))</f>
        <v/>
      </c>
      <c r="L851" s="11"/>
    </row>
    <row r="852" customFormat="false" ht="15" hidden="false" customHeight="false" outlineLevel="0" collapsed="false">
      <c r="A852" s="10"/>
      <c r="B852" s="11"/>
      <c r="C852" s="11"/>
      <c r="D852" s="11"/>
      <c r="E852" s="11"/>
      <c r="F852" s="11"/>
      <c r="G852" s="11"/>
      <c r="H852" s="15" t="str">
        <f aca="false">IF(OR(D852="",F852=""),"",IF(F852&lt;=1,D852,D852*(1+F852/30)))</f>
        <v/>
      </c>
      <c r="I852" s="15" t="str">
        <f aca="false">IF(OR(D852="",F852="",G852=""),"",IF(F852+MAX(0,10-G852)&lt;=1,D852,D852*(1+(F852+MAX(0,10-G852))/30)))</f>
        <v/>
      </c>
      <c r="J852" s="16" t="str">
        <f aca="false">IF(A852="","",IF(AND(C852="yes",N(G852)&gt;=7),N(E852),0))</f>
        <v/>
      </c>
      <c r="K852" s="17" t="str">
        <f aca="false">IF(A852="","",A852-WEEKDAY(A852,3))</f>
        <v/>
      </c>
      <c r="L852" s="11"/>
    </row>
    <row r="853" customFormat="false" ht="15" hidden="false" customHeight="false" outlineLevel="0" collapsed="false">
      <c r="A853" s="10"/>
      <c r="B853" s="11"/>
      <c r="C853" s="11"/>
      <c r="D853" s="11"/>
      <c r="E853" s="11"/>
      <c r="F853" s="11"/>
      <c r="G853" s="11"/>
      <c r="H853" s="15" t="str">
        <f aca="false">IF(OR(D853="",F853=""),"",IF(F853&lt;=1,D853,D853*(1+F853/30)))</f>
        <v/>
      </c>
      <c r="I853" s="15" t="str">
        <f aca="false">IF(OR(D853="",F853="",G853=""),"",IF(F853+MAX(0,10-G853)&lt;=1,D853,D853*(1+(F853+MAX(0,10-G853))/30)))</f>
        <v/>
      </c>
      <c r="J853" s="16" t="str">
        <f aca="false">IF(A853="","",IF(AND(C853="yes",N(G853)&gt;=7),N(E853),0))</f>
        <v/>
      </c>
      <c r="K853" s="17" t="str">
        <f aca="false">IF(A853="","",A853-WEEKDAY(A853,3))</f>
        <v/>
      </c>
      <c r="L853" s="11"/>
    </row>
    <row r="854" customFormat="false" ht="15" hidden="false" customHeight="false" outlineLevel="0" collapsed="false">
      <c r="A854" s="10"/>
      <c r="B854" s="11"/>
      <c r="C854" s="11"/>
      <c r="D854" s="11"/>
      <c r="E854" s="11"/>
      <c r="F854" s="11"/>
      <c r="G854" s="11"/>
      <c r="H854" s="15" t="str">
        <f aca="false">IF(OR(D854="",F854=""),"",IF(F854&lt;=1,D854,D854*(1+F854/30)))</f>
        <v/>
      </c>
      <c r="I854" s="15" t="str">
        <f aca="false">IF(OR(D854="",F854="",G854=""),"",IF(F854+MAX(0,10-G854)&lt;=1,D854,D854*(1+(F854+MAX(0,10-G854))/30)))</f>
        <v/>
      </c>
      <c r="J854" s="16" t="str">
        <f aca="false">IF(A854="","",IF(AND(C854="yes",N(G854)&gt;=7),N(E854),0))</f>
        <v/>
      </c>
      <c r="K854" s="17" t="str">
        <f aca="false">IF(A854="","",A854-WEEKDAY(A854,3))</f>
        <v/>
      </c>
      <c r="L854" s="11"/>
    </row>
    <row r="855" customFormat="false" ht="15" hidden="false" customHeight="false" outlineLevel="0" collapsed="false">
      <c r="A855" s="10"/>
      <c r="B855" s="11"/>
      <c r="C855" s="11"/>
      <c r="D855" s="11"/>
      <c r="E855" s="11"/>
      <c r="F855" s="11"/>
      <c r="G855" s="11"/>
      <c r="H855" s="15" t="str">
        <f aca="false">IF(OR(D855="",F855=""),"",IF(F855&lt;=1,D855,D855*(1+F855/30)))</f>
        <v/>
      </c>
      <c r="I855" s="15" t="str">
        <f aca="false">IF(OR(D855="",F855="",G855=""),"",IF(F855+MAX(0,10-G855)&lt;=1,D855,D855*(1+(F855+MAX(0,10-G855))/30)))</f>
        <v/>
      </c>
      <c r="J855" s="16" t="str">
        <f aca="false">IF(A855="","",IF(AND(C855="yes",N(G855)&gt;=7),N(E855),0))</f>
        <v/>
      </c>
      <c r="K855" s="17" t="str">
        <f aca="false">IF(A855="","",A855-WEEKDAY(A855,3))</f>
        <v/>
      </c>
      <c r="L855" s="11"/>
    </row>
    <row r="856" customFormat="false" ht="15" hidden="false" customHeight="false" outlineLevel="0" collapsed="false">
      <c r="A856" s="10"/>
      <c r="B856" s="11"/>
      <c r="C856" s="11"/>
      <c r="D856" s="11"/>
      <c r="E856" s="11"/>
      <c r="F856" s="11"/>
      <c r="G856" s="11"/>
      <c r="H856" s="15" t="str">
        <f aca="false">IF(OR(D856="",F856=""),"",IF(F856&lt;=1,D856,D856*(1+F856/30)))</f>
        <v/>
      </c>
      <c r="I856" s="15" t="str">
        <f aca="false">IF(OR(D856="",F856="",G856=""),"",IF(F856+MAX(0,10-G856)&lt;=1,D856,D856*(1+(F856+MAX(0,10-G856))/30)))</f>
        <v/>
      </c>
      <c r="J856" s="16" t="str">
        <f aca="false">IF(A856="","",IF(AND(C856="yes",N(G856)&gt;=7),N(E856),0))</f>
        <v/>
      </c>
      <c r="K856" s="17" t="str">
        <f aca="false">IF(A856="","",A856-WEEKDAY(A856,3))</f>
        <v/>
      </c>
      <c r="L856" s="11"/>
    </row>
    <row r="857" customFormat="false" ht="15" hidden="false" customHeight="false" outlineLevel="0" collapsed="false">
      <c r="A857" s="10"/>
      <c r="B857" s="11"/>
      <c r="C857" s="11"/>
      <c r="D857" s="11"/>
      <c r="E857" s="11"/>
      <c r="F857" s="11"/>
      <c r="G857" s="11"/>
      <c r="H857" s="15" t="str">
        <f aca="false">IF(OR(D857="",F857=""),"",IF(F857&lt;=1,D857,D857*(1+F857/30)))</f>
        <v/>
      </c>
      <c r="I857" s="15" t="str">
        <f aca="false">IF(OR(D857="",F857="",G857=""),"",IF(F857+MAX(0,10-G857)&lt;=1,D857,D857*(1+(F857+MAX(0,10-G857))/30)))</f>
        <v/>
      </c>
      <c r="J857" s="16" t="str">
        <f aca="false">IF(A857="","",IF(AND(C857="yes",N(G857)&gt;=7),N(E857),0))</f>
        <v/>
      </c>
      <c r="K857" s="17" t="str">
        <f aca="false">IF(A857="","",A857-WEEKDAY(A857,3))</f>
        <v/>
      </c>
      <c r="L857" s="11"/>
    </row>
    <row r="858" customFormat="false" ht="15" hidden="false" customHeight="false" outlineLevel="0" collapsed="false">
      <c r="A858" s="10"/>
      <c r="B858" s="11"/>
      <c r="C858" s="11"/>
      <c r="D858" s="11"/>
      <c r="E858" s="11"/>
      <c r="F858" s="11"/>
      <c r="G858" s="11"/>
      <c r="H858" s="15" t="str">
        <f aca="false">IF(OR(D858="",F858=""),"",IF(F858&lt;=1,D858,D858*(1+F858/30)))</f>
        <v/>
      </c>
      <c r="I858" s="15" t="str">
        <f aca="false">IF(OR(D858="",F858="",G858=""),"",IF(F858+MAX(0,10-G858)&lt;=1,D858,D858*(1+(F858+MAX(0,10-G858))/30)))</f>
        <v/>
      </c>
      <c r="J858" s="16" t="str">
        <f aca="false">IF(A858="","",IF(AND(C858="yes",N(G858)&gt;=7),N(E858),0))</f>
        <v/>
      </c>
      <c r="K858" s="17" t="str">
        <f aca="false">IF(A858="","",A858-WEEKDAY(A858,3))</f>
        <v/>
      </c>
      <c r="L858" s="11"/>
    </row>
    <row r="859" customFormat="false" ht="15" hidden="false" customHeight="false" outlineLevel="0" collapsed="false">
      <c r="A859" s="10"/>
      <c r="B859" s="11"/>
      <c r="C859" s="11"/>
      <c r="D859" s="11"/>
      <c r="E859" s="11"/>
      <c r="F859" s="11"/>
      <c r="G859" s="11"/>
      <c r="H859" s="15" t="str">
        <f aca="false">IF(OR(D859="",F859=""),"",IF(F859&lt;=1,D859,D859*(1+F859/30)))</f>
        <v/>
      </c>
      <c r="I859" s="15" t="str">
        <f aca="false">IF(OR(D859="",F859="",G859=""),"",IF(F859+MAX(0,10-G859)&lt;=1,D859,D859*(1+(F859+MAX(0,10-G859))/30)))</f>
        <v/>
      </c>
      <c r="J859" s="16" t="str">
        <f aca="false">IF(A859="","",IF(AND(C859="yes",N(G859)&gt;=7),N(E859),0))</f>
        <v/>
      </c>
      <c r="K859" s="17" t="str">
        <f aca="false">IF(A859="","",A859-WEEKDAY(A859,3))</f>
        <v/>
      </c>
      <c r="L859" s="11"/>
    </row>
    <row r="860" customFormat="false" ht="15" hidden="false" customHeight="false" outlineLevel="0" collapsed="false">
      <c r="A860" s="10"/>
      <c r="B860" s="11"/>
      <c r="C860" s="11"/>
      <c r="D860" s="11"/>
      <c r="E860" s="11"/>
      <c r="F860" s="11"/>
      <c r="G860" s="11"/>
      <c r="H860" s="15" t="str">
        <f aca="false">IF(OR(D860="",F860=""),"",IF(F860&lt;=1,D860,D860*(1+F860/30)))</f>
        <v/>
      </c>
      <c r="I860" s="15" t="str">
        <f aca="false">IF(OR(D860="",F860="",G860=""),"",IF(F860+MAX(0,10-G860)&lt;=1,D860,D860*(1+(F860+MAX(0,10-G860))/30)))</f>
        <v/>
      </c>
      <c r="J860" s="16" t="str">
        <f aca="false">IF(A860="","",IF(AND(C860="yes",N(G860)&gt;=7),N(E860),0))</f>
        <v/>
      </c>
      <c r="K860" s="17" t="str">
        <f aca="false">IF(A860="","",A860-WEEKDAY(A860,3))</f>
        <v/>
      </c>
      <c r="L860" s="11"/>
    </row>
    <row r="861" customFormat="false" ht="15" hidden="false" customHeight="false" outlineLevel="0" collapsed="false">
      <c r="A861" s="10"/>
      <c r="B861" s="11"/>
      <c r="C861" s="11"/>
      <c r="D861" s="11"/>
      <c r="E861" s="11"/>
      <c r="F861" s="11"/>
      <c r="G861" s="11"/>
      <c r="H861" s="15" t="str">
        <f aca="false">IF(OR(D861="",F861=""),"",IF(F861&lt;=1,D861,D861*(1+F861/30)))</f>
        <v/>
      </c>
      <c r="I861" s="15" t="str">
        <f aca="false">IF(OR(D861="",F861="",G861=""),"",IF(F861+MAX(0,10-G861)&lt;=1,D861,D861*(1+(F861+MAX(0,10-G861))/30)))</f>
        <v/>
      </c>
      <c r="J861" s="16" t="str">
        <f aca="false">IF(A861="","",IF(AND(C861="yes",N(G861)&gt;=7),N(E861),0))</f>
        <v/>
      </c>
      <c r="K861" s="17" t="str">
        <f aca="false">IF(A861="","",A861-WEEKDAY(A861,3))</f>
        <v/>
      </c>
      <c r="L861" s="11"/>
    </row>
    <row r="862" customFormat="false" ht="15" hidden="false" customHeight="false" outlineLevel="0" collapsed="false">
      <c r="A862" s="10"/>
      <c r="B862" s="11"/>
      <c r="C862" s="11"/>
      <c r="D862" s="11"/>
      <c r="E862" s="11"/>
      <c r="F862" s="11"/>
      <c r="G862" s="11"/>
      <c r="H862" s="15" t="str">
        <f aca="false">IF(OR(D862="",F862=""),"",IF(F862&lt;=1,D862,D862*(1+F862/30)))</f>
        <v/>
      </c>
      <c r="I862" s="15" t="str">
        <f aca="false">IF(OR(D862="",F862="",G862=""),"",IF(F862+MAX(0,10-G862)&lt;=1,D862,D862*(1+(F862+MAX(0,10-G862))/30)))</f>
        <v/>
      </c>
      <c r="J862" s="16" t="str">
        <f aca="false">IF(A862="","",IF(AND(C862="yes",N(G862)&gt;=7),N(E862),0))</f>
        <v/>
      </c>
      <c r="K862" s="17" t="str">
        <f aca="false">IF(A862="","",A862-WEEKDAY(A862,3))</f>
        <v/>
      </c>
      <c r="L862" s="11"/>
    </row>
    <row r="863" customFormat="false" ht="15" hidden="false" customHeight="false" outlineLevel="0" collapsed="false">
      <c r="A863" s="10"/>
      <c r="B863" s="11"/>
      <c r="C863" s="11"/>
      <c r="D863" s="11"/>
      <c r="E863" s="11"/>
      <c r="F863" s="11"/>
      <c r="G863" s="11"/>
      <c r="H863" s="15" t="str">
        <f aca="false">IF(OR(D863="",F863=""),"",IF(F863&lt;=1,D863,D863*(1+F863/30)))</f>
        <v/>
      </c>
      <c r="I863" s="15" t="str">
        <f aca="false">IF(OR(D863="",F863="",G863=""),"",IF(F863+MAX(0,10-G863)&lt;=1,D863,D863*(1+(F863+MAX(0,10-G863))/30)))</f>
        <v/>
      </c>
      <c r="J863" s="16" t="str">
        <f aca="false">IF(A863="","",IF(AND(C863="yes",N(G863)&gt;=7),N(E863),0))</f>
        <v/>
      </c>
      <c r="K863" s="17" t="str">
        <f aca="false">IF(A863="","",A863-WEEKDAY(A863,3))</f>
        <v/>
      </c>
      <c r="L863" s="11"/>
    </row>
    <row r="864" customFormat="false" ht="15" hidden="false" customHeight="false" outlineLevel="0" collapsed="false">
      <c r="A864" s="10"/>
      <c r="B864" s="11"/>
      <c r="C864" s="11"/>
      <c r="D864" s="11"/>
      <c r="E864" s="11"/>
      <c r="F864" s="11"/>
      <c r="G864" s="11"/>
      <c r="H864" s="15" t="str">
        <f aca="false">IF(OR(D864="",F864=""),"",IF(F864&lt;=1,D864,D864*(1+F864/30)))</f>
        <v/>
      </c>
      <c r="I864" s="15" t="str">
        <f aca="false">IF(OR(D864="",F864="",G864=""),"",IF(F864+MAX(0,10-G864)&lt;=1,D864,D864*(1+(F864+MAX(0,10-G864))/30)))</f>
        <v/>
      </c>
      <c r="J864" s="16" t="str">
        <f aca="false">IF(A864="","",IF(AND(C864="yes",N(G864)&gt;=7),N(E864),0))</f>
        <v/>
      </c>
      <c r="K864" s="17" t="str">
        <f aca="false">IF(A864="","",A864-WEEKDAY(A864,3))</f>
        <v/>
      </c>
      <c r="L864" s="11"/>
    </row>
    <row r="865" customFormat="false" ht="15" hidden="false" customHeight="false" outlineLevel="0" collapsed="false">
      <c r="A865" s="10"/>
      <c r="B865" s="11"/>
      <c r="C865" s="11"/>
      <c r="D865" s="11"/>
      <c r="E865" s="11"/>
      <c r="F865" s="11"/>
      <c r="G865" s="11"/>
      <c r="H865" s="15" t="str">
        <f aca="false">IF(OR(D865="",F865=""),"",IF(F865&lt;=1,D865,D865*(1+F865/30)))</f>
        <v/>
      </c>
      <c r="I865" s="15" t="str">
        <f aca="false">IF(OR(D865="",F865="",G865=""),"",IF(F865+MAX(0,10-G865)&lt;=1,D865,D865*(1+(F865+MAX(0,10-G865))/30)))</f>
        <v/>
      </c>
      <c r="J865" s="16" t="str">
        <f aca="false">IF(A865="","",IF(AND(C865="yes",N(G865)&gt;=7),N(E865),0))</f>
        <v/>
      </c>
      <c r="K865" s="17" t="str">
        <f aca="false">IF(A865="","",A865-WEEKDAY(A865,3))</f>
        <v/>
      </c>
      <c r="L865" s="11"/>
    </row>
    <row r="866" customFormat="false" ht="15" hidden="false" customHeight="false" outlineLevel="0" collapsed="false">
      <c r="A866" s="10"/>
      <c r="B866" s="11"/>
      <c r="C866" s="11"/>
      <c r="D866" s="11"/>
      <c r="E866" s="11"/>
      <c r="F866" s="11"/>
      <c r="G866" s="11"/>
      <c r="H866" s="15" t="str">
        <f aca="false">IF(OR(D866="",F866=""),"",IF(F866&lt;=1,D866,D866*(1+F866/30)))</f>
        <v/>
      </c>
      <c r="I866" s="15" t="str">
        <f aca="false">IF(OR(D866="",F866="",G866=""),"",IF(F866+MAX(0,10-G866)&lt;=1,D866,D866*(1+(F866+MAX(0,10-G866))/30)))</f>
        <v/>
      </c>
      <c r="J866" s="16" t="str">
        <f aca="false">IF(A866="","",IF(AND(C866="yes",N(G866)&gt;=7),N(E866),0))</f>
        <v/>
      </c>
      <c r="K866" s="17" t="str">
        <f aca="false">IF(A866="","",A866-WEEKDAY(A866,3))</f>
        <v/>
      </c>
      <c r="L866" s="11"/>
    </row>
    <row r="867" customFormat="false" ht="15" hidden="false" customHeight="false" outlineLevel="0" collapsed="false">
      <c r="A867" s="10"/>
      <c r="B867" s="11"/>
      <c r="C867" s="11"/>
      <c r="D867" s="11"/>
      <c r="E867" s="11"/>
      <c r="F867" s="11"/>
      <c r="G867" s="11"/>
      <c r="H867" s="15" t="str">
        <f aca="false">IF(OR(D867="",F867=""),"",IF(F867&lt;=1,D867,D867*(1+F867/30)))</f>
        <v/>
      </c>
      <c r="I867" s="15" t="str">
        <f aca="false">IF(OR(D867="",F867="",G867=""),"",IF(F867+MAX(0,10-G867)&lt;=1,D867,D867*(1+(F867+MAX(0,10-G867))/30)))</f>
        <v/>
      </c>
      <c r="J867" s="16" t="str">
        <f aca="false">IF(A867="","",IF(AND(C867="yes",N(G867)&gt;=7),N(E867),0))</f>
        <v/>
      </c>
      <c r="K867" s="17" t="str">
        <f aca="false">IF(A867="","",A867-WEEKDAY(A867,3))</f>
        <v/>
      </c>
      <c r="L867" s="11"/>
    </row>
    <row r="868" customFormat="false" ht="15" hidden="false" customHeight="false" outlineLevel="0" collapsed="false">
      <c r="A868" s="10"/>
      <c r="B868" s="11"/>
      <c r="C868" s="11"/>
      <c r="D868" s="11"/>
      <c r="E868" s="11"/>
      <c r="F868" s="11"/>
      <c r="G868" s="11"/>
      <c r="H868" s="15" t="str">
        <f aca="false">IF(OR(D868="",F868=""),"",IF(F868&lt;=1,D868,D868*(1+F868/30)))</f>
        <v/>
      </c>
      <c r="I868" s="15" t="str">
        <f aca="false">IF(OR(D868="",F868="",G868=""),"",IF(F868+MAX(0,10-G868)&lt;=1,D868,D868*(1+(F868+MAX(0,10-G868))/30)))</f>
        <v/>
      </c>
      <c r="J868" s="16" t="str">
        <f aca="false">IF(A868="","",IF(AND(C868="yes",N(G868)&gt;=7),N(E868),0))</f>
        <v/>
      </c>
      <c r="K868" s="17" t="str">
        <f aca="false">IF(A868="","",A868-WEEKDAY(A868,3))</f>
        <v/>
      </c>
      <c r="L868" s="11"/>
    </row>
    <row r="869" customFormat="false" ht="15" hidden="false" customHeight="false" outlineLevel="0" collapsed="false">
      <c r="A869" s="10"/>
      <c r="B869" s="11"/>
      <c r="C869" s="11"/>
      <c r="D869" s="11"/>
      <c r="E869" s="11"/>
      <c r="F869" s="11"/>
      <c r="G869" s="11"/>
      <c r="H869" s="15" t="str">
        <f aca="false">IF(OR(D869="",F869=""),"",IF(F869&lt;=1,D869,D869*(1+F869/30)))</f>
        <v/>
      </c>
      <c r="I869" s="15" t="str">
        <f aca="false">IF(OR(D869="",F869="",G869=""),"",IF(F869+MAX(0,10-G869)&lt;=1,D869,D869*(1+(F869+MAX(0,10-G869))/30)))</f>
        <v/>
      </c>
      <c r="J869" s="16" t="str">
        <f aca="false">IF(A869="","",IF(AND(C869="yes",N(G869)&gt;=7),N(E869),0))</f>
        <v/>
      </c>
      <c r="K869" s="17" t="str">
        <f aca="false">IF(A869="","",A869-WEEKDAY(A869,3))</f>
        <v/>
      </c>
      <c r="L869" s="11"/>
    </row>
    <row r="870" customFormat="false" ht="15" hidden="false" customHeight="false" outlineLevel="0" collapsed="false">
      <c r="A870" s="10"/>
      <c r="B870" s="11"/>
      <c r="C870" s="11"/>
      <c r="D870" s="11"/>
      <c r="E870" s="11"/>
      <c r="F870" s="11"/>
      <c r="G870" s="11"/>
      <c r="H870" s="15" t="str">
        <f aca="false">IF(OR(D870="",F870=""),"",IF(F870&lt;=1,D870,D870*(1+F870/30)))</f>
        <v/>
      </c>
      <c r="I870" s="15" t="str">
        <f aca="false">IF(OR(D870="",F870="",G870=""),"",IF(F870+MAX(0,10-G870)&lt;=1,D870,D870*(1+(F870+MAX(0,10-G870))/30)))</f>
        <v/>
      </c>
      <c r="J870" s="16" t="str">
        <f aca="false">IF(A870="","",IF(AND(C870="yes",N(G870)&gt;=7),N(E870),0))</f>
        <v/>
      </c>
      <c r="K870" s="17" t="str">
        <f aca="false">IF(A870="","",A870-WEEKDAY(A870,3))</f>
        <v/>
      </c>
      <c r="L870" s="11"/>
    </row>
    <row r="871" customFormat="false" ht="15" hidden="false" customHeight="false" outlineLevel="0" collapsed="false">
      <c r="A871" s="10"/>
      <c r="B871" s="11"/>
      <c r="C871" s="11"/>
      <c r="D871" s="11"/>
      <c r="E871" s="11"/>
      <c r="F871" s="11"/>
      <c r="G871" s="11"/>
      <c r="H871" s="15" t="str">
        <f aca="false">IF(OR(D871="",F871=""),"",IF(F871&lt;=1,D871,D871*(1+F871/30)))</f>
        <v/>
      </c>
      <c r="I871" s="15" t="str">
        <f aca="false">IF(OR(D871="",F871="",G871=""),"",IF(F871+MAX(0,10-G871)&lt;=1,D871,D871*(1+(F871+MAX(0,10-G871))/30)))</f>
        <v/>
      </c>
      <c r="J871" s="16" t="str">
        <f aca="false">IF(A871="","",IF(AND(C871="yes",N(G871)&gt;=7),N(E871),0))</f>
        <v/>
      </c>
      <c r="K871" s="17" t="str">
        <f aca="false">IF(A871="","",A871-WEEKDAY(A871,3))</f>
        <v/>
      </c>
      <c r="L871" s="11"/>
    </row>
    <row r="872" customFormat="false" ht="15" hidden="false" customHeight="false" outlineLevel="0" collapsed="false">
      <c r="A872" s="10"/>
      <c r="B872" s="11"/>
      <c r="C872" s="11"/>
      <c r="D872" s="11"/>
      <c r="E872" s="11"/>
      <c r="F872" s="11"/>
      <c r="G872" s="11"/>
      <c r="H872" s="15" t="str">
        <f aca="false">IF(OR(D872="",F872=""),"",IF(F872&lt;=1,D872,D872*(1+F872/30)))</f>
        <v/>
      </c>
      <c r="I872" s="15" t="str">
        <f aca="false">IF(OR(D872="",F872="",G872=""),"",IF(F872+MAX(0,10-G872)&lt;=1,D872,D872*(1+(F872+MAX(0,10-G872))/30)))</f>
        <v/>
      </c>
      <c r="J872" s="16" t="str">
        <f aca="false">IF(A872="","",IF(AND(C872="yes",N(G872)&gt;=7),N(E872),0))</f>
        <v/>
      </c>
      <c r="K872" s="17" t="str">
        <f aca="false">IF(A872="","",A872-WEEKDAY(A872,3))</f>
        <v/>
      </c>
      <c r="L872" s="11"/>
    </row>
    <row r="873" customFormat="false" ht="15" hidden="false" customHeight="false" outlineLevel="0" collapsed="false">
      <c r="A873" s="10"/>
      <c r="B873" s="11"/>
      <c r="C873" s="11"/>
      <c r="D873" s="11"/>
      <c r="E873" s="11"/>
      <c r="F873" s="11"/>
      <c r="G873" s="11"/>
      <c r="H873" s="15" t="str">
        <f aca="false">IF(OR(D873="",F873=""),"",IF(F873&lt;=1,D873,D873*(1+F873/30)))</f>
        <v/>
      </c>
      <c r="I873" s="15" t="str">
        <f aca="false">IF(OR(D873="",F873="",G873=""),"",IF(F873+MAX(0,10-G873)&lt;=1,D873,D873*(1+(F873+MAX(0,10-G873))/30)))</f>
        <v/>
      </c>
      <c r="J873" s="16" t="str">
        <f aca="false">IF(A873="","",IF(AND(C873="yes",N(G873)&gt;=7),N(E873),0))</f>
        <v/>
      </c>
      <c r="K873" s="17" t="str">
        <f aca="false">IF(A873="","",A873-WEEKDAY(A873,3))</f>
        <v/>
      </c>
      <c r="L873" s="11"/>
    </row>
    <row r="874" customFormat="false" ht="15" hidden="false" customHeight="false" outlineLevel="0" collapsed="false">
      <c r="A874" s="10"/>
      <c r="B874" s="11"/>
      <c r="C874" s="11"/>
      <c r="D874" s="11"/>
      <c r="E874" s="11"/>
      <c r="F874" s="11"/>
      <c r="G874" s="11"/>
      <c r="H874" s="15" t="str">
        <f aca="false">IF(OR(D874="",F874=""),"",IF(F874&lt;=1,D874,D874*(1+F874/30)))</f>
        <v/>
      </c>
      <c r="I874" s="15" t="str">
        <f aca="false">IF(OR(D874="",F874="",G874=""),"",IF(F874+MAX(0,10-G874)&lt;=1,D874,D874*(1+(F874+MAX(0,10-G874))/30)))</f>
        <v/>
      </c>
      <c r="J874" s="16" t="str">
        <f aca="false">IF(A874="","",IF(AND(C874="yes",N(G874)&gt;=7),N(E874),0))</f>
        <v/>
      </c>
      <c r="K874" s="17" t="str">
        <f aca="false">IF(A874="","",A874-WEEKDAY(A874,3))</f>
        <v/>
      </c>
      <c r="L874" s="11"/>
    </row>
    <row r="875" customFormat="false" ht="15" hidden="false" customHeight="false" outlineLevel="0" collapsed="false">
      <c r="A875" s="10"/>
      <c r="B875" s="11"/>
      <c r="C875" s="11"/>
      <c r="D875" s="11"/>
      <c r="E875" s="11"/>
      <c r="F875" s="11"/>
      <c r="G875" s="11"/>
      <c r="H875" s="15" t="str">
        <f aca="false">IF(OR(D875="",F875=""),"",IF(F875&lt;=1,D875,D875*(1+F875/30)))</f>
        <v/>
      </c>
      <c r="I875" s="15" t="str">
        <f aca="false">IF(OR(D875="",F875="",G875=""),"",IF(F875+MAX(0,10-G875)&lt;=1,D875,D875*(1+(F875+MAX(0,10-G875))/30)))</f>
        <v/>
      </c>
      <c r="J875" s="16" t="str">
        <f aca="false">IF(A875="","",IF(AND(C875="yes",N(G875)&gt;=7),N(E875),0))</f>
        <v/>
      </c>
      <c r="K875" s="17" t="str">
        <f aca="false">IF(A875="","",A875-WEEKDAY(A875,3))</f>
        <v/>
      </c>
      <c r="L875" s="11"/>
    </row>
    <row r="876" customFormat="false" ht="15" hidden="false" customHeight="false" outlineLevel="0" collapsed="false">
      <c r="A876" s="10"/>
      <c r="B876" s="11"/>
      <c r="C876" s="11"/>
      <c r="D876" s="11"/>
      <c r="E876" s="11"/>
      <c r="F876" s="11"/>
      <c r="G876" s="11"/>
      <c r="H876" s="15" t="str">
        <f aca="false">IF(OR(D876="",F876=""),"",IF(F876&lt;=1,D876,D876*(1+F876/30)))</f>
        <v/>
      </c>
      <c r="I876" s="15" t="str">
        <f aca="false">IF(OR(D876="",F876="",G876=""),"",IF(F876+MAX(0,10-G876)&lt;=1,D876,D876*(1+(F876+MAX(0,10-G876))/30)))</f>
        <v/>
      </c>
      <c r="J876" s="16" t="str">
        <f aca="false">IF(A876="","",IF(AND(C876="yes",N(G876)&gt;=7),N(E876),0))</f>
        <v/>
      </c>
      <c r="K876" s="17" t="str">
        <f aca="false">IF(A876="","",A876-WEEKDAY(A876,3))</f>
        <v/>
      </c>
      <c r="L876" s="11"/>
    </row>
    <row r="877" customFormat="false" ht="15" hidden="false" customHeight="false" outlineLevel="0" collapsed="false">
      <c r="A877" s="10"/>
      <c r="B877" s="11"/>
      <c r="C877" s="11"/>
      <c r="D877" s="11"/>
      <c r="E877" s="11"/>
      <c r="F877" s="11"/>
      <c r="G877" s="11"/>
      <c r="H877" s="15" t="str">
        <f aca="false">IF(OR(D877="",F877=""),"",IF(F877&lt;=1,D877,D877*(1+F877/30)))</f>
        <v/>
      </c>
      <c r="I877" s="15" t="str">
        <f aca="false">IF(OR(D877="",F877="",G877=""),"",IF(F877+MAX(0,10-G877)&lt;=1,D877,D877*(1+(F877+MAX(0,10-G877))/30)))</f>
        <v/>
      </c>
      <c r="J877" s="16" t="str">
        <f aca="false">IF(A877="","",IF(AND(C877="yes",N(G877)&gt;=7),N(E877),0))</f>
        <v/>
      </c>
      <c r="K877" s="17" t="str">
        <f aca="false">IF(A877="","",A877-WEEKDAY(A877,3))</f>
        <v/>
      </c>
      <c r="L877" s="11"/>
    </row>
    <row r="878" customFormat="false" ht="15" hidden="false" customHeight="false" outlineLevel="0" collapsed="false">
      <c r="A878" s="10"/>
      <c r="B878" s="11"/>
      <c r="C878" s="11"/>
      <c r="D878" s="11"/>
      <c r="E878" s="11"/>
      <c r="F878" s="11"/>
      <c r="G878" s="11"/>
      <c r="H878" s="15" t="str">
        <f aca="false">IF(OR(D878="",F878=""),"",IF(F878&lt;=1,D878,D878*(1+F878/30)))</f>
        <v/>
      </c>
      <c r="I878" s="15" t="str">
        <f aca="false">IF(OR(D878="",F878="",G878=""),"",IF(F878+MAX(0,10-G878)&lt;=1,D878,D878*(1+(F878+MAX(0,10-G878))/30)))</f>
        <v/>
      </c>
      <c r="J878" s="16" t="str">
        <f aca="false">IF(A878="","",IF(AND(C878="yes",N(G878)&gt;=7),N(E878),0))</f>
        <v/>
      </c>
      <c r="K878" s="17" t="str">
        <f aca="false">IF(A878="","",A878-WEEKDAY(A878,3))</f>
        <v/>
      </c>
      <c r="L878" s="11"/>
    </row>
    <row r="879" customFormat="false" ht="15" hidden="false" customHeight="false" outlineLevel="0" collapsed="false">
      <c r="A879" s="10"/>
      <c r="B879" s="11"/>
      <c r="C879" s="11"/>
      <c r="D879" s="11"/>
      <c r="E879" s="11"/>
      <c r="F879" s="11"/>
      <c r="G879" s="11"/>
      <c r="H879" s="15" t="str">
        <f aca="false">IF(OR(D879="",F879=""),"",IF(F879&lt;=1,D879,D879*(1+F879/30)))</f>
        <v/>
      </c>
      <c r="I879" s="15" t="str">
        <f aca="false">IF(OR(D879="",F879="",G879=""),"",IF(F879+MAX(0,10-G879)&lt;=1,D879,D879*(1+(F879+MAX(0,10-G879))/30)))</f>
        <v/>
      </c>
      <c r="J879" s="16" t="str">
        <f aca="false">IF(A879="","",IF(AND(C879="yes",N(G879)&gt;=7),N(E879),0))</f>
        <v/>
      </c>
      <c r="K879" s="17" t="str">
        <f aca="false">IF(A879="","",A879-WEEKDAY(A879,3))</f>
        <v/>
      </c>
      <c r="L879" s="11"/>
    </row>
    <row r="880" customFormat="false" ht="15" hidden="false" customHeight="false" outlineLevel="0" collapsed="false">
      <c r="A880" s="10"/>
      <c r="B880" s="11"/>
      <c r="C880" s="11"/>
      <c r="D880" s="11"/>
      <c r="E880" s="11"/>
      <c r="F880" s="11"/>
      <c r="G880" s="11"/>
      <c r="H880" s="15" t="str">
        <f aca="false">IF(OR(D880="",F880=""),"",IF(F880&lt;=1,D880,D880*(1+F880/30)))</f>
        <v/>
      </c>
      <c r="I880" s="15" t="str">
        <f aca="false">IF(OR(D880="",F880="",G880=""),"",IF(F880+MAX(0,10-G880)&lt;=1,D880,D880*(1+(F880+MAX(0,10-G880))/30)))</f>
        <v/>
      </c>
      <c r="J880" s="16" t="str">
        <f aca="false">IF(A880="","",IF(AND(C880="yes",N(G880)&gt;=7),N(E880),0))</f>
        <v/>
      </c>
      <c r="K880" s="17" t="str">
        <f aca="false">IF(A880="","",A880-WEEKDAY(A880,3))</f>
        <v/>
      </c>
      <c r="L880" s="11"/>
    </row>
    <row r="881" customFormat="false" ht="15" hidden="false" customHeight="false" outlineLevel="0" collapsed="false">
      <c r="A881" s="10"/>
      <c r="B881" s="11"/>
      <c r="C881" s="11"/>
      <c r="D881" s="11"/>
      <c r="E881" s="11"/>
      <c r="F881" s="11"/>
      <c r="G881" s="11"/>
      <c r="H881" s="15" t="str">
        <f aca="false">IF(OR(D881="",F881=""),"",IF(F881&lt;=1,D881,D881*(1+F881/30)))</f>
        <v/>
      </c>
      <c r="I881" s="15" t="str">
        <f aca="false">IF(OR(D881="",F881="",G881=""),"",IF(F881+MAX(0,10-G881)&lt;=1,D881,D881*(1+(F881+MAX(0,10-G881))/30)))</f>
        <v/>
      </c>
      <c r="J881" s="16" t="str">
        <f aca="false">IF(A881="","",IF(AND(C881="yes",N(G881)&gt;=7),N(E881),0))</f>
        <v/>
      </c>
      <c r="K881" s="17" t="str">
        <f aca="false">IF(A881="","",A881-WEEKDAY(A881,3))</f>
        <v/>
      </c>
      <c r="L881" s="11"/>
    </row>
    <row r="882" customFormat="false" ht="15" hidden="false" customHeight="false" outlineLevel="0" collapsed="false">
      <c r="A882" s="10"/>
      <c r="B882" s="11"/>
      <c r="C882" s="11"/>
      <c r="D882" s="11"/>
      <c r="E882" s="11"/>
      <c r="F882" s="11"/>
      <c r="G882" s="11"/>
      <c r="H882" s="15" t="str">
        <f aca="false">IF(OR(D882="",F882=""),"",IF(F882&lt;=1,D882,D882*(1+F882/30)))</f>
        <v/>
      </c>
      <c r="I882" s="15" t="str">
        <f aca="false">IF(OR(D882="",F882="",G882=""),"",IF(F882+MAX(0,10-G882)&lt;=1,D882,D882*(1+(F882+MAX(0,10-G882))/30)))</f>
        <v/>
      </c>
      <c r="J882" s="16" t="str">
        <f aca="false">IF(A882="","",IF(AND(C882="yes",N(G882)&gt;=7),N(E882),0))</f>
        <v/>
      </c>
      <c r="K882" s="17" t="str">
        <f aca="false">IF(A882="","",A882-WEEKDAY(A882,3))</f>
        <v/>
      </c>
      <c r="L882" s="11"/>
    </row>
    <row r="883" customFormat="false" ht="15" hidden="false" customHeight="false" outlineLevel="0" collapsed="false">
      <c r="A883" s="10"/>
      <c r="B883" s="11"/>
      <c r="C883" s="11"/>
      <c r="D883" s="11"/>
      <c r="E883" s="11"/>
      <c r="F883" s="11"/>
      <c r="G883" s="11"/>
      <c r="H883" s="15" t="str">
        <f aca="false">IF(OR(D883="",F883=""),"",IF(F883&lt;=1,D883,D883*(1+F883/30)))</f>
        <v/>
      </c>
      <c r="I883" s="15" t="str">
        <f aca="false">IF(OR(D883="",F883="",G883=""),"",IF(F883+MAX(0,10-G883)&lt;=1,D883,D883*(1+(F883+MAX(0,10-G883))/30)))</f>
        <v/>
      </c>
      <c r="J883" s="16" t="str">
        <f aca="false">IF(A883="","",IF(AND(C883="yes",N(G883)&gt;=7),N(E883),0))</f>
        <v/>
      </c>
      <c r="K883" s="17" t="str">
        <f aca="false">IF(A883="","",A883-WEEKDAY(A883,3))</f>
        <v/>
      </c>
      <c r="L883" s="11"/>
    </row>
    <row r="884" customFormat="false" ht="15" hidden="false" customHeight="false" outlineLevel="0" collapsed="false">
      <c r="A884" s="10"/>
      <c r="B884" s="11"/>
      <c r="C884" s="11"/>
      <c r="D884" s="11"/>
      <c r="E884" s="11"/>
      <c r="F884" s="11"/>
      <c r="G884" s="11"/>
      <c r="H884" s="15" t="str">
        <f aca="false">IF(OR(D884="",F884=""),"",IF(F884&lt;=1,D884,D884*(1+F884/30)))</f>
        <v/>
      </c>
      <c r="I884" s="15" t="str">
        <f aca="false">IF(OR(D884="",F884="",G884=""),"",IF(F884+MAX(0,10-G884)&lt;=1,D884,D884*(1+(F884+MAX(0,10-G884))/30)))</f>
        <v/>
      </c>
      <c r="J884" s="16" t="str">
        <f aca="false">IF(A884="","",IF(AND(C884="yes",N(G884)&gt;=7),N(E884),0))</f>
        <v/>
      </c>
      <c r="K884" s="17" t="str">
        <f aca="false">IF(A884="","",A884-WEEKDAY(A884,3))</f>
        <v/>
      </c>
      <c r="L884" s="11"/>
    </row>
    <row r="885" customFormat="false" ht="15" hidden="false" customHeight="false" outlineLevel="0" collapsed="false">
      <c r="A885" s="10"/>
      <c r="B885" s="11"/>
      <c r="C885" s="11"/>
      <c r="D885" s="11"/>
      <c r="E885" s="11"/>
      <c r="F885" s="11"/>
      <c r="G885" s="11"/>
      <c r="H885" s="15" t="str">
        <f aca="false">IF(OR(D885="",F885=""),"",IF(F885&lt;=1,D885,D885*(1+F885/30)))</f>
        <v/>
      </c>
      <c r="I885" s="15" t="str">
        <f aca="false">IF(OR(D885="",F885="",G885=""),"",IF(F885+MAX(0,10-G885)&lt;=1,D885,D885*(1+(F885+MAX(0,10-G885))/30)))</f>
        <v/>
      </c>
      <c r="J885" s="16" t="str">
        <f aca="false">IF(A885="","",IF(AND(C885="yes",N(G885)&gt;=7),N(E885),0))</f>
        <v/>
      </c>
      <c r="K885" s="17" t="str">
        <f aca="false">IF(A885="","",A885-WEEKDAY(A885,3))</f>
        <v/>
      </c>
      <c r="L885" s="11"/>
    </row>
    <row r="886" customFormat="false" ht="15" hidden="false" customHeight="false" outlineLevel="0" collapsed="false">
      <c r="A886" s="10"/>
      <c r="B886" s="11"/>
      <c r="C886" s="11"/>
      <c r="D886" s="11"/>
      <c r="E886" s="11"/>
      <c r="F886" s="11"/>
      <c r="G886" s="11"/>
      <c r="H886" s="15" t="str">
        <f aca="false">IF(OR(D886="",F886=""),"",IF(F886&lt;=1,D886,D886*(1+F886/30)))</f>
        <v/>
      </c>
      <c r="I886" s="15" t="str">
        <f aca="false">IF(OR(D886="",F886="",G886=""),"",IF(F886+MAX(0,10-G886)&lt;=1,D886,D886*(1+(F886+MAX(0,10-G886))/30)))</f>
        <v/>
      </c>
      <c r="J886" s="16" t="str">
        <f aca="false">IF(A886="","",IF(AND(C886="yes",N(G886)&gt;=7),N(E886),0))</f>
        <v/>
      </c>
      <c r="K886" s="17" t="str">
        <f aca="false">IF(A886="","",A886-WEEKDAY(A886,3))</f>
        <v/>
      </c>
      <c r="L886" s="11"/>
    </row>
    <row r="887" customFormat="false" ht="15" hidden="false" customHeight="false" outlineLevel="0" collapsed="false">
      <c r="A887" s="10"/>
      <c r="B887" s="11"/>
      <c r="C887" s="11"/>
      <c r="D887" s="11"/>
      <c r="E887" s="11"/>
      <c r="F887" s="11"/>
      <c r="G887" s="11"/>
      <c r="H887" s="15" t="str">
        <f aca="false">IF(OR(D887="",F887=""),"",IF(F887&lt;=1,D887,D887*(1+F887/30)))</f>
        <v/>
      </c>
      <c r="I887" s="15" t="str">
        <f aca="false">IF(OR(D887="",F887="",G887=""),"",IF(F887+MAX(0,10-G887)&lt;=1,D887,D887*(1+(F887+MAX(0,10-G887))/30)))</f>
        <v/>
      </c>
      <c r="J887" s="16" t="str">
        <f aca="false">IF(A887="","",IF(AND(C887="yes",N(G887)&gt;=7),N(E887),0))</f>
        <v/>
      </c>
      <c r="K887" s="17" t="str">
        <f aca="false">IF(A887="","",A887-WEEKDAY(A887,3))</f>
        <v/>
      </c>
      <c r="L887" s="11"/>
    </row>
    <row r="888" customFormat="false" ht="15" hidden="false" customHeight="false" outlineLevel="0" collapsed="false">
      <c r="A888" s="10"/>
      <c r="B888" s="11"/>
      <c r="C888" s="11"/>
      <c r="D888" s="11"/>
      <c r="E888" s="11"/>
      <c r="F888" s="11"/>
      <c r="G888" s="11"/>
      <c r="H888" s="15" t="str">
        <f aca="false">IF(OR(D888="",F888=""),"",IF(F888&lt;=1,D888,D888*(1+F888/30)))</f>
        <v/>
      </c>
      <c r="I888" s="15" t="str">
        <f aca="false">IF(OR(D888="",F888="",G888=""),"",IF(F888+MAX(0,10-G888)&lt;=1,D888,D888*(1+(F888+MAX(0,10-G888))/30)))</f>
        <v/>
      </c>
      <c r="J888" s="16" t="str">
        <f aca="false">IF(A888="","",IF(AND(C888="yes",N(G888)&gt;=7),N(E888),0))</f>
        <v/>
      </c>
      <c r="K888" s="17" t="str">
        <f aca="false">IF(A888="","",A888-WEEKDAY(A888,3))</f>
        <v/>
      </c>
      <c r="L888" s="11"/>
    </row>
    <row r="889" customFormat="false" ht="15" hidden="false" customHeight="false" outlineLevel="0" collapsed="false">
      <c r="A889" s="10"/>
      <c r="B889" s="11"/>
      <c r="C889" s="11"/>
      <c r="D889" s="11"/>
      <c r="E889" s="11"/>
      <c r="F889" s="11"/>
      <c r="G889" s="11"/>
      <c r="H889" s="15" t="str">
        <f aca="false">IF(OR(D889="",F889=""),"",IF(F889&lt;=1,D889,D889*(1+F889/30)))</f>
        <v/>
      </c>
      <c r="I889" s="15" t="str">
        <f aca="false">IF(OR(D889="",F889="",G889=""),"",IF(F889+MAX(0,10-G889)&lt;=1,D889,D889*(1+(F889+MAX(0,10-G889))/30)))</f>
        <v/>
      </c>
      <c r="J889" s="16" t="str">
        <f aca="false">IF(A889="","",IF(AND(C889="yes",N(G889)&gt;=7),N(E889),0))</f>
        <v/>
      </c>
      <c r="K889" s="17" t="str">
        <f aca="false">IF(A889="","",A889-WEEKDAY(A889,3))</f>
        <v/>
      </c>
      <c r="L889" s="11"/>
    </row>
    <row r="890" customFormat="false" ht="15" hidden="false" customHeight="false" outlineLevel="0" collapsed="false">
      <c r="A890" s="10"/>
      <c r="B890" s="11"/>
      <c r="C890" s="11"/>
      <c r="D890" s="11"/>
      <c r="E890" s="11"/>
      <c r="F890" s="11"/>
      <c r="G890" s="11"/>
      <c r="H890" s="15" t="str">
        <f aca="false">IF(OR(D890="",F890=""),"",IF(F890&lt;=1,D890,D890*(1+F890/30)))</f>
        <v/>
      </c>
      <c r="I890" s="15" t="str">
        <f aca="false">IF(OR(D890="",F890="",G890=""),"",IF(F890+MAX(0,10-G890)&lt;=1,D890,D890*(1+(F890+MAX(0,10-G890))/30)))</f>
        <v/>
      </c>
      <c r="J890" s="16" t="str">
        <f aca="false">IF(A890="","",IF(AND(C890="yes",N(G890)&gt;=7),N(E890),0))</f>
        <v/>
      </c>
      <c r="K890" s="17" t="str">
        <f aca="false">IF(A890="","",A890-WEEKDAY(A890,3))</f>
        <v/>
      </c>
      <c r="L890" s="11"/>
    </row>
    <row r="891" customFormat="false" ht="15" hidden="false" customHeight="false" outlineLevel="0" collapsed="false">
      <c r="A891" s="10"/>
      <c r="B891" s="11"/>
      <c r="C891" s="11"/>
      <c r="D891" s="11"/>
      <c r="E891" s="11"/>
      <c r="F891" s="11"/>
      <c r="G891" s="11"/>
      <c r="H891" s="15" t="str">
        <f aca="false">IF(OR(D891="",F891=""),"",IF(F891&lt;=1,D891,D891*(1+F891/30)))</f>
        <v/>
      </c>
      <c r="I891" s="15" t="str">
        <f aca="false">IF(OR(D891="",F891="",G891=""),"",IF(F891+MAX(0,10-G891)&lt;=1,D891,D891*(1+(F891+MAX(0,10-G891))/30)))</f>
        <v/>
      </c>
      <c r="J891" s="16" t="str">
        <f aca="false">IF(A891="","",IF(AND(C891="yes",N(G891)&gt;=7),N(E891),0))</f>
        <v/>
      </c>
      <c r="K891" s="17" t="str">
        <f aca="false">IF(A891="","",A891-WEEKDAY(A891,3))</f>
        <v/>
      </c>
      <c r="L891" s="11"/>
    </row>
    <row r="892" customFormat="false" ht="15" hidden="false" customHeight="false" outlineLevel="0" collapsed="false">
      <c r="A892" s="10"/>
      <c r="B892" s="11"/>
      <c r="C892" s="11"/>
      <c r="D892" s="11"/>
      <c r="E892" s="11"/>
      <c r="F892" s="11"/>
      <c r="G892" s="11"/>
      <c r="H892" s="15" t="str">
        <f aca="false">IF(OR(D892="",F892=""),"",IF(F892&lt;=1,D892,D892*(1+F892/30)))</f>
        <v/>
      </c>
      <c r="I892" s="15" t="str">
        <f aca="false">IF(OR(D892="",F892="",G892=""),"",IF(F892+MAX(0,10-G892)&lt;=1,D892,D892*(1+(F892+MAX(0,10-G892))/30)))</f>
        <v/>
      </c>
      <c r="J892" s="16" t="str">
        <f aca="false">IF(A892="","",IF(AND(C892="yes",N(G892)&gt;=7),N(E892),0))</f>
        <v/>
      </c>
      <c r="K892" s="17" t="str">
        <f aca="false">IF(A892="","",A892-WEEKDAY(A892,3))</f>
        <v/>
      </c>
      <c r="L892" s="11"/>
    </row>
    <row r="893" customFormat="false" ht="15" hidden="false" customHeight="false" outlineLevel="0" collapsed="false">
      <c r="A893" s="10"/>
      <c r="B893" s="11"/>
      <c r="C893" s="11"/>
      <c r="D893" s="11"/>
      <c r="E893" s="11"/>
      <c r="F893" s="11"/>
      <c r="G893" s="11"/>
      <c r="H893" s="15" t="str">
        <f aca="false">IF(OR(D893="",F893=""),"",IF(F893&lt;=1,D893,D893*(1+F893/30)))</f>
        <v/>
      </c>
      <c r="I893" s="15" t="str">
        <f aca="false">IF(OR(D893="",F893="",G893=""),"",IF(F893+MAX(0,10-G893)&lt;=1,D893,D893*(1+(F893+MAX(0,10-G893))/30)))</f>
        <v/>
      </c>
      <c r="J893" s="16" t="str">
        <f aca="false">IF(A893="","",IF(AND(C893="yes",N(G893)&gt;=7),N(E893),0))</f>
        <v/>
      </c>
      <c r="K893" s="17" t="str">
        <f aca="false">IF(A893="","",A893-WEEKDAY(A893,3))</f>
        <v/>
      </c>
      <c r="L893" s="11"/>
    </row>
    <row r="894" customFormat="false" ht="15" hidden="false" customHeight="false" outlineLevel="0" collapsed="false">
      <c r="A894" s="10"/>
      <c r="B894" s="11"/>
      <c r="C894" s="11"/>
      <c r="D894" s="11"/>
      <c r="E894" s="11"/>
      <c r="F894" s="11"/>
      <c r="G894" s="11"/>
      <c r="H894" s="15" t="str">
        <f aca="false">IF(OR(D894="",F894=""),"",IF(F894&lt;=1,D894,D894*(1+F894/30)))</f>
        <v/>
      </c>
      <c r="I894" s="15" t="str">
        <f aca="false">IF(OR(D894="",F894="",G894=""),"",IF(F894+MAX(0,10-G894)&lt;=1,D894,D894*(1+(F894+MAX(0,10-G894))/30)))</f>
        <v/>
      </c>
      <c r="J894" s="16" t="str">
        <f aca="false">IF(A894="","",IF(AND(C894="yes",N(G894)&gt;=7),N(E894),0))</f>
        <v/>
      </c>
      <c r="K894" s="17" t="str">
        <f aca="false">IF(A894="","",A894-WEEKDAY(A894,3))</f>
        <v/>
      </c>
      <c r="L894" s="11"/>
    </row>
    <row r="895" customFormat="false" ht="15" hidden="false" customHeight="false" outlineLevel="0" collapsed="false">
      <c r="A895" s="10"/>
      <c r="B895" s="11"/>
      <c r="C895" s="11"/>
      <c r="D895" s="11"/>
      <c r="E895" s="11"/>
      <c r="F895" s="11"/>
      <c r="G895" s="11"/>
      <c r="H895" s="15" t="str">
        <f aca="false">IF(OR(D895="",F895=""),"",IF(F895&lt;=1,D895,D895*(1+F895/30)))</f>
        <v/>
      </c>
      <c r="I895" s="15" t="str">
        <f aca="false">IF(OR(D895="",F895="",G895=""),"",IF(F895+MAX(0,10-G895)&lt;=1,D895,D895*(1+(F895+MAX(0,10-G895))/30)))</f>
        <v/>
      </c>
      <c r="J895" s="16" t="str">
        <f aca="false">IF(A895="","",IF(AND(C895="yes",N(G895)&gt;=7),N(E895),0))</f>
        <v/>
      </c>
      <c r="K895" s="17" t="str">
        <f aca="false">IF(A895="","",A895-WEEKDAY(A895,3))</f>
        <v/>
      </c>
      <c r="L895" s="11"/>
    </row>
    <row r="896" customFormat="false" ht="15" hidden="false" customHeight="false" outlineLevel="0" collapsed="false">
      <c r="A896" s="10"/>
      <c r="B896" s="11"/>
      <c r="C896" s="11"/>
      <c r="D896" s="11"/>
      <c r="E896" s="11"/>
      <c r="F896" s="11"/>
      <c r="G896" s="11"/>
      <c r="H896" s="15" t="str">
        <f aca="false">IF(OR(D896="",F896=""),"",IF(F896&lt;=1,D896,D896*(1+F896/30)))</f>
        <v/>
      </c>
      <c r="I896" s="15" t="str">
        <f aca="false">IF(OR(D896="",F896="",G896=""),"",IF(F896+MAX(0,10-G896)&lt;=1,D896,D896*(1+(F896+MAX(0,10-G896))/30)))</f>
        <v/>
      </c>
      <c r="J896" s="16" t="str">
        <f aca="false">IF(A896="","",IF(AND(C896="yes",N(G896)&gt;=7),N(E896),0))</f>
        <v/>
      </c>
      <c r="K896" s="17" t="str">
        <f aca="false">IF(A896="","",A896-WEEKDAY(A896,3))</f>
        <v/>
      </c>
      <c r="L896" s="11"/>
    </row>
    <row r="897" customFormat="false" ht="15" hidden="false" customHeight="false" outlineLevel="0" collapsed="false">
      <c r="A897" s="10"/>
      <c r="B897" s="11"/>
      <c r="C897" s="11"/>
      <c r="D897" s="11"/>
      <c r="E897" s="11"/>
      <c r="F897" s="11"/>
      <c r="G897" s="11"/>
      <c r="H897" s="15" t="str">
        <f aca="false">IF(OR(D897="",F897=""),"",IF(F897&lt;=1,D897,D897*(1+F897/30)))</f>
        <v/>
      </c>
      <c r="I897" s="15" t="str">
        <f aca="false">IF(OR(D897="",F897="",G897=""),"",IF(F897+MAX(0,10-G897)&lt;=1,D897,D897*(1+(F897+MAX(0,10-G897))/30)))</f>
        <v/>
      </c>
      <c r="J897" s="16" t="str">
        <f aca="false">IF(A897="","",IF(AND(C897="yes",N(G897)&gt;=7),N(E897),0))</f>
        <v/>
      </c>
      <c r="K897" s="17" t="str">
        <f aca="false">IF(A897="","",A897-WEEKDAY(A897,3))</f>
        <v/>
      </c>
      <c r="L897" s="11"/>
    </row>
    <row r="898" customFormat="false" ht="15" hidden="false" customHeight="false" outlineLevel="0" collapsed="false">
      <c r="A898" s="10"/>
      <c r="B898" s="11"/>
      <c r="C898" s="11"/>
      <c r="D898" s="11"/>
      <c r="E898" s="11"/>
      <c r="F898" s="11"/>
      <c r="G898" s="11"/>
      <c r="H898" s="15" t="str">
        <f aca="false">IF(OR(D898="",F898=""),"",IF(F898&lt;=1,D898,D898*(1+F898/30)))</f>
        <v/>
      </c>
      <c r="I898" s="15" t="str">
        <f aca="false">IF(OR(D898="",F898="",G898=""),"",IF(F898+MAX(0,10-G898)&lt;=1,D898,D898*(1+(F898+MAX(0,10-G898))/30)))</f>
        <v/>
      </c>
      <c r="J898" s="16" t="str">
        <f aca="false">IF(A898="","",IF(AND(C898="yes",N(G898)&gt;=7),N(E898),0))</f>
        <v/>
      </c>
      <c r="K898" s="17" t="str">
        <f aca="false">IF(A898="","",A898-WEEKDAY(A898,3))</f>
        <v/>
      </c>
      <c r="L898" s="11"/>
    </row>
    <row r="899" customFormat="false" ht="15" hidden="false" customHeight="false" outlineLevel="0" collapsed="false">
      <c r="A899" s="10"/>
      <c r="B899" s="11"/>
      <c r="C899" s="11"/>
      <c r="D899" s="11"/>
      <c r="E899" s="11"/>
      <c r="F899" s="11"/>
      <c r="G899" s="11"/>
      <c r="H899" s="15" t="str">
        <f aca="false">IF(OR(D899="",F899=""),"",IF(F899&lt;=1,D899,D899*(1+F899/30)))</f>
        <v/>
      </c>
      <c r="I899" s="15" t="str">
        <f aca="false">IF(OR(D899="",F899="",G899=""),"",IF(F899+MAX(0,10-G899)&lt;=1,D899,D899*(1+(F899+MAX(0,10-G899))/30)))</f>
        <v/>
      </c>
      <c r="J899" s="16" t="str">
        <f aca="false">IF(A899="","",IF(AND(C899="yes",N(G899)&gt;=7),N(E899),0))</f>
        <v/>
      </c>
      <c r="K899" s="17" t="str">
        <f aca="false">IF(A899="","",A899-WEEKDAY(A899,3))</f>
        <v/>
      </c>
      <c r="L899" s="11"/>
    </row>
    <row r="900" customFormat="false" ht="15" hidden="false" customHeight="false" outlineLevel="0" collapsed="false">
      <c r="A900" s="10"/>
      <c r="B900" s="11"/>
      <c r="C900" s="11"/>
      <c r="D900" s="11"/>
      <c r="E900" s="11"/>
      <c r="F900" s="11"/>
      <c r="G900" s="11"/>
      <c r="H900" s="15" t="str">
        <f aca="false">IF(OR(D900="",F900=""),"",IF(F900&lt;=1,D900,D900*(1+F900/30)))</f>
        <v/>
      </c>
      <c r="I900" s="15" t="str">
        <f aca="false">IF(OR(D900="",F900="",G900=""),"",IF(F900+MAX(0,10-G900)&lt;=1,D900,D900*(1+(F900+MAX(0,10-G900))/30)))</f>
        <v/>
      </c>
      <c r="J900" s="16" t="str">
        <f aca="false">IF(A900="","",IF(AND(C900="yes",N(G900)&gt;=7),N(E900),0))</f>
        <v/>
      </c>
      <c r="K900" s="17" t="str">
        <f aca="false">IF(A900="","",A900-WEEKDAY(A900,3))</f>
        <v/>
      </c>
      <c r="L900" s="11"/>
    </row>
    <row r="901" customFormat="false" ht="15" hidden="false" customHeight="false" outlineLevel="0" collapsed="false">
      <c r="A901" s="10"/>
      <c r="B901" s="11"/>
      <c r="C901" s="11"/>
      <c r="D901" s="11"/>
      <c r="E901" s="11"/>
      <c r="F901" s="11"/>
      <c r="G901" s="11"/>
      <c r="H901" s="15" t="str">
        <f aca="false">IF(OR(D901="",F901=""),"",IF(F901&lt;=1,D901,D901*(1+F901/30)))</f>
        <v/>
      </c>
      <c r="I901" s="15" t="str">
        <f aca="false">IF(OR(D901="",F901="",G901=""),"",IF(F901+MAX(0,10-G901)&lt;=1,D901,D901*(1+(F901+MAX(0,10-G901))/30)))</f>
        <v/>
      </c>
      <c r="J901" s="16" t="str">
        <f aca="false">IF(A901="","",IF(AND(C901="yes",N(G901)&gt;=7),N(E901),0))</f>
        <v/>
      </c>
      <c r="K901" s="17" t="str">
        <f aca="false">IF(A901="","",A901-WEEKDAY(A901,3))</f>
        <v/>
      </c>
      <c r="L901" s="11"/>
    </row>
    <row r="902" customFormat="false" ht="15" hidden="false" customHeight="false" outlineLevel="0" collapsed="false">
      <c r="A902" s="10"/>
      <c r="B902" s="11"/>
      <c r="C902" s="11"/>
      <c r="D902" s="11"/>
      <c r="E902" s="11"/>
      <c r="F902" s="11"/>
      <c r="G902" s="11"/>
      <c r="H902" s="15" t="str">
        <f aca="false">IF(OR(D902="",F902=""),"",IF(F902&lt;=1,D902,D902*(1+F902/30)))</f>
        <v/>
      </c>
      <c r="I902" s="15" t="str">
        <f aca="false">IF(OR(D902="",F902="",G902=""),"",IF(F902+MAX(0,10-G902)&lt;=1,D902,D902*(1+(F902+MAX(0,10-G902))/30)))</f>
        <v/>
      </c>
      <c r="J902" s="16" t="str">
        <f aca="false">IF(A902="","",IF(AND(C902="yes",N(G902)&gt;=7),N(E902),0))</f>
        <v/>
      </c>
      <c r="K902" s="17" t="str">
        <f aca="false">IF(A902="","",A902-WEEKDAY(A902,3))</f>
        <v/>
      </c>
      <c r="L902" s="11"/>
    </row>
    <row r="903" customFormat="false" ht="15" hidden="false" customHeight="false" outlineLevel="0" collapsed="false">
      <c r="A903" s="10"/>
      <c r="B903" s="11"/>
      <c r="C903" s="11"/>
      <c r="D903" s="11"/>
      <c r="E903" s="11"/>
      <c r="F903" s="11"/>
      <c r="G903" s="11"/>
      <c r="H903" s="15" t="str">
        <f aca="false">IF(OR(D903="",F903=""),"",IF(F903&lt;=1,D903,D903*(1+F903/30)))</f>
        <v/>
      </c>
      <c r="I903" s="15" t="str">
        <f aca="false">IF(OR(D903="",F903="",G903=""),"",IF(F903+MAX(0,10-G903)&lt;=1,D903,D903*(1+(F903+MAX(0,10-G903))/30)))</f>
        <v/>
      </c>
      <c r="J903" s="16" t="str">
        <f aca="false">IF(A903="","",IF(AND(C903="yes",N(G903)&gt;=7),N(E903),0))</f>
        <v/>
      </c>
      <c r="K903" s="17" t="str">
        <f aca="false">IF(A903="","",A903-WEEKDAY(A903,3))</f>
        <v/>
      </c>
      <c r="L903" s="11"/>
    </row>
    <row r="904" customFormat="false" ht="15" hidden="false" customHeight="false" outlineLevel="0" collapsed="false">
      <c r="A904" s="10"/>
      <c r="B904" s="11"/>
      <c r="C904" s="11"/>
      <c r="D904" s="11"/>
      <c r="E904" s="11"/>
      <c r="F904" s="11"/>
      <c r="G904" s="11"/>
      <c r="H904" s="15" t="str">
        <f aca="false">IF(OR(D904="",F904=""),"",IF(F904&lt;=1,D904,D904*(1+F904/30)))</f>
        <v/>
      </c>
      <c r="I904" s="15" t="str">
        <f aca="false">IF(OR(D904="",F904="",G904=""),"",IF(F904+MAX(0,10-G904)&lt;=1,D904,D904*(1+(F904+MAX(0,10-G904))/30)))</f>
        <v/>
      </c>
      <c r="J904" s="16" t="str">
        <f aca="false">IF(A904="","",IF(AND(C904="yes",N(G904)&gt;=7),N(E904),0))</f>
        <v/>
      </c>
      <c r="K904" s="17" t="str">
        <f aca="false">IF(A904="","",A904-WEEKDAY(A904,3))</f>
        <v/>
      </c>
      <c r="L904" s="11"/>
    </row>
    <row r="905" customFormat="false" ht="15" hidden="false" customHeight="false" outlineLevel="0" collapsed="false">
      <c r="A905" s="10"/>
      <c r="B905" s="11"/>
      <c r="C905" s="11"/>
      <c r="D905" s="11"/>
      <c r="E905" s="11"/>
      <c r="F905" s="11"/>
      <c r="G905" s="11"/>
      <c r="H905" s="15" t="str">
        <f aca="false">IF(OR(D905="",F905=""),"",IF(F905&lt;=1,D905,D905*(1+F905/30)))</f>
        <v/>
      </c>
      <c r="I905" s="15" t="str">
        <f aca="false">IF(OR(D905="",F905="",G905=""),"",IF(F905+MAX(0,10-G905)&lt;=1,D905,D905*(1+(F905+MAX(0,10-G905))/30)))</f>
        <v/>
      </c>
      <c r="J905" s="16" t="str">
        <f aca="false">IF(A905="","",IF(AND(C905="yes",N(G905)&gt;=7),N(E905),0))</f>
        <v/>
      </c>
      <c r="K905" s="17" t="str">
        <f aca="false">IF(A905="","",A905-WEEKDAY(A905,3))</f>
        <v/>
      </c>
      <c r="L905" s="11"/>
    </row>
    <row r="906" customFormat="false" ht="15" hidden="false" customHeight="false" outlineLevel="0" collapsed="false">
      <c r="A906" s="10"/>
      <c r="B906" s="11"/>
      <c r="C906" s="11"/>
      <c r="D906" s="11"/>
      <c r="E906" s="11"/>
      <c r="F906" s="11"/>
      <c r="G906" s="11"/>
      <c r="H906" s="15" t="str">
        <f aca="false">IF(OR(D906="",F906=""),"",IF(F906&lt;=1,D906,D906*(1+F906/30)))</f>
        <v/>
      </c>
      <c r="I906" s="15" t="str">
        <f aca="false">IF(OR(D906="",F906="",G906=""),"",IF(F906+MAX(0,10-G906)&lt;=1,D906,D906*(1+(F906+MAX(0,10-G906))/30)))</f>
        <v/>
      </c>
      <c r="J906" s="16" t="str">
        <f aca="false">IF(A906="","",IF(AND(C906="yes",N(G906)&gt;=7),N(E906),0))</f>
        <v/>
      </c>
      <c r="K906" s="17" t="str">
        <f aca="false">IF(A906="","",A906-WEEKDAY(A906,3))</f>
        <v/>
      </c>
      <c r="L906" s="11"/>
    </row>
    <row r="907" customFormat="false" ht="15" hidden="false" customHeight="false" outlineLevel="0" collapsed="false">
      <c r="A907" s="10"/>
      <c r="B907" s="11"/>
      <c r="C907" s="11"/>
      <c r="D907" s="11"/>
      <c r="E907" s="11"/>
      <c r="F907" s="11"/>
      <c r="G907" s="11"/>
      <c r="H907" s="15" t="str">
        <f aca="false">IF(OR(D907="",F907=""),"",IF(F907&lt;=1,D907,D907*(1+F907/30)))</f>
        <v/>
      </c>
      <c r="I907" s="15" t="str">
        <f aca="false">IF(OR(D907="",F907="",G907=""),"",IF(F907+MAX(0,10-G907)&lt;=1,D907,D907*(1+(F907+MAX(0,10-G907))/30)))</f>
        <v/>
      </c>
      <c r="J907" s="16" t="str">
        <f aca="false">IF(A907="","",IF(AND(C907="yes",N(G907)&gt;=7),N(E907),0))</f>
        <v/>
      </c>
      <c r="K907" s="17" t="str">
        <f aca="false">IF(A907="","",A907-WEEKDAY(A907,3))</f>
        <v/>
      </c>
      <c r="L907" s="11"/>
    </row>
    <row r="908" customFormat="false" ht="15" hidden="false" customHeight="false" outlineLevel="0" collapsed="false">
      <c r="A908" s="10"/>
      <c r="B908" s="11"/>
      <c r="C908" s="11"/>
      <c r="D908" s="11"/>
      <c r="E908" s="11"/>
      <c r="F908" s="11"/>
      <c r="G908" s="11"/>
      <c r="H908" s="15" t="str">
        <f aca="false">IF(OR(D908="",F908=""),"",IF(F908&lt;=1,D908,D908*(1+F908/30)))</f>
        <v/>
      </c>
      <c r="I908" s="15" t="str">
        <f aca="false">IF(OR(D908="",F908="",G908=""),"",IF(F908+MAX(0,10-G908)&lt;=1,D908,D908*(1+(F908+MAX(0,10-G908))/30)))</f>
        <v/>
      </c>
      <c r="J908" s="16" t="str">
        <f aca="false">IF(A908="","",IF(AND(C908="yes",N(G908)&gt;=7),N(E908),0))</f>
        <v/>
      </c>
      <c r="K908" s="17" t="str">
        <f aca="false">IF(A908="","",A908-WEEKDAY(A908,3))</f>
        <v/>
      </c>
      <c r="L908" s="11"/>
    </row>
    <row r="909" customFormat="false" ht="15" hidden="false" customHeight="false" outlineLevel="0" collapsed="false">
      <c r="A909" s="10"/>
      <c r="B909" s="11"/>
      <c r="C909" s="11"/>
      <c r="D909" s="11"/>
      <c r="E909" s="11"/>
      <c r="F909" s="11"/>
      <c r="G909" s="11"/>
      <c r="H909" s="15" t="str">
        <f aca="false">IF(OR(D909="",F909=""),"",IF(F909&lt;=1,D909,D909*(1+F909/30)))</f>
        <v/>
      </c>
      <c r="I909" s="15" t="str">
        <f aca="false">IF(OR(D909="",F909="",G909=""),"",IF(F909+MAX(0,10-G909)&lt;=1,D909,D909*(1+(F909+MAX(0,10-G909))/30)))</f>
        <v/>
      </c>
      <c r="J909" s="16" t="str">
        <f aca="false">IF(A909="","",IF(AND(C909="yes",N(G909)&gt;=7),N(E909),0))</f>
        <v/>
      </c>
      <c r="K909" s="17" t="str">
        <f aca="false">IF(A909="","",A909-WEEKDAY(A909,3))</f>
        <v/>
      </c>
      <c r="L909" s="11"/>
    </row>
    <row r="910" customFormat="false" ht="15" hidden="false" customHeight="false" outlineLevel="0" collapsed="false">
      <c r="A910" s="10"/>
      <c r="B910" s="11"/>
      <c r="C910" s="11"/>
      <c r="D910" s="11"/>
      <c r="E910" s="11"/>
      <c r="F910" s="11"/>
      <c r="G910" s="11"/>
      <c r="H910" s="15" t="str">
        <f aca="false">IF(OR(D910="",F910=""),"",IF(F910&lt;=1,D910,D910*(1+F910/30)))</f>
        <v/>
      </c>
      <c r="I910" s="15" t="str">
        <f aca="false">IF(OR(D910="",F910="",G910=""),"",IF(F910+MAX(0,10-G910)&lt;=1,D910,D910*(1+(F910+MAX(0,10-G910))/30)))</f>
        <v/>
      </c>
      <c r="J910" s="16" t="str">
        <f aca="false">IF(A910="","",IF(AND(C910="yes",N(G910)&gt;=7),N(E910),0))</f>
        <v/>
      </c>
      <c r="K910" s="17" t="str">
        <f aca="false">IF(A910="","",A910-WEEKDAY(A910,3))</f>
        <v/>
      </c>
      <c r="L910" s="11"/>
    </row>
    <row r="911" customFormat="false" ht="15" hidden="false" customHeight="false" outlineLevel="0" collapsed="false">
      <c r="A911" s="10"/>
      <c r="B911" s="11"/>
      <c r="C911" s="11"/>
      <c r="D911" s="11"/>
      <c r="E911" s="11"/>
      <c r="F911" s="11"/>
      <c r="G911" s="11"/>
      <c r="H911" s="15" t="str">
        <f aca="false">IF(OR(D911="",F911=""),"",IF(F911&lt;=1,D911,D911*(1+F911/30)))</f>
        <v/>
      </c>
      <c r="I911" s="15" t="str">
        <f aca="false">IF(OR(D911="",F911="",G911=""),"",IF(F911+MAX(0,10-G911)&lt;=1,D911,D911*(1+(F911+MAX(0,10-G911))/30)))</f>
        <v/>
      </c>
      <c r="J911" s="16" t="str">
        <f aca="false">IF(A911="","",IF(AND(C911="yes",N(G911)&gt;=7),N(E911),0))</f>
        <v/>
      </c>
      <c r="K911" s="17" t="str">
        <f aca="false">IF(A911="","",A911-WEEKDAY(A911,3))</f>
        <v/>
      </c>
      <c r="L911" s="11"/>
    </row>
    <row r="912" customFormat="false" ht="15" hidden="false" customHeight="false" outlineLevel="0" collapsed="false">
      <c r="A912" s="10"/>
      <c r="B912" s="11"/>
      <c r="C912" s="11"/>
      <c r="D912" s="11"/>
      <c r="E912" s="11"/>
      <c r="F912" s="11"/>
      <c r="G912" s="11"/>
      <c r="H912" s="15" t="str">
        <f aca="false">IF(OR(D912="",F912=""),"",IF(F912&lt;=1,D912,D912*(1+F912/30)))</f>
        <v/>
      </c>
      <c r="I912" s="15" t="str">
        <f aca="false">IF(OR(D912="",F912="",G912=""),"",IF(F912+MAX(0,10-G912)&lt;=1,D912,D912*(1+(F912+MAX(0,10-G912))/30)))</f>
        <v/>
      </c>
      <c r="J912" s="16" t="str">
        <f aca="false">IF(A912="","",IF(AND(C912="yes",N(G912)&gt;=7),N(E912),0))</f>
        <v/>
      </c>
      <c r="K912" s="17" t="str">
        <f aca="false">IF(A912="","",A912-WEEKDAY(A912,3))</f>
        <v/>
      </c>
      <c r="L912" s="11"/>
    </row>
    <row r="913" customFormat="false" ht="15" hidden="false" customHeight="false" outlineLevel="0" collapsed="false">
      <c r="A913" s="10"/>
      <c r="B913" s="11"/>
      <c r="C913" s="11"/>
      <c r="D913" s="11"/>
      <c r="E913" s="11"/>
      <c r="F913" s="11"/>
      <c r="G913" s="11"/>
      <c r="H913" s="15" t="str">
        <f aca="false">IF(OR(D913="",F913=""),"",IF(F913&lt;=1,D913,D913*(1+F913/30)))</f>
        <v/>
      </c>
      <c r="I913" s="15" t="str">
        <f aca="false">IF(OR(D913="",F913="",G913=""),"",IF(F913+MAX(0,10-G913)&lt;=1,D913,D913*(1+(F913+MAX(0,10-G913))/30)))</f>
        <v/>
      </c>
      <c r="J913" s="16" t="str">
        <f aca="false">IF(A913="","",IF(AND(C913="yes",N(G913)&gt;=7),N(E913),0))</f>
        <v/>
      </c>
      <c r="K913" s="17" t="str">
        <f aca="false">IF(A913="","",A913-WEEKDAY(A913,3))</f>
        <v/>
      </c>
      <c r="L913" s="11"/>
    </row>
    <row r="914" customFormat="false" ht="15" hidden="false" customHeight="false" outlineLevel="0" collapsed="false">
      <c r="A914" s="10"/>
      <c r="B914" s="11"/>
      <c r="C914" s="11"/>
      <c r="D914" s="11"/>
      <c r="E914" s="11"/>
      <c r="F914" s="11"/>
      <c r="G914" s="11"/>
      <c r="H914" s="15" t="str">
        <f aca="false">IF(OR(D914="",F914=""),"",IF(F914&lt;=1,D914,D914*(1+F914/30)))</f>
        <v/>
      </c>
      <c r="I914" s="15" t="str">
        <f aca="false">IF(OR(D914="",F914="",G914=""),"",IF(F914+MAX(0,10-G914)&lt;=1,D914,D914*(1+(F914+MAX(0,10-G914))/30)))</f>
        <v/>
      </c>
      <c r="J914" s="16" t="str">
        <f aca="false">IF(A914="","",IF(AND(C914="yes",N(G914)&gt;=7),N(E914),0))</f>
        <v/>
      </c>
      <c r="K914" s="17" t="str">
        <f aca="false">IF(A914="","",A914-WEEKDAY(A914,3))</f>
        <v/>
      </c>
      <c r="L914" s="11"/>
    </row>
    <row r="915" customFormat="false" ht="15" hidden="false" customHeight="false" outlineLevel="0" collapsed="false">
      <c r="A915" s="10"/>
      <c r="B915" s="11"/>
      <c r="C915" s="11"/>
      <c r="D915" s="11"/>
      <c r="E915" s="11"/>
      <c r="F915" s="11"/>
      <c r="G915" s="11"/>
      <c r="H915" s="15" t="str">
        <f aca="false">IF(OR(D915="",F915=""),"",IF(F915&lt;=1,D915,D915*(1+F915/30)))</f>
        <v/>
      </c>
      <c r="I915" s="15" t="str">
        <f aca="false">IF(OR(D915="",F915="",G915=""),"",IF(F915+MAX(0,10-G915)&lt;=1,D915,D915*(1+(F915+MAX(0,10-G915))/30)))</f>
        <v/>
      </c>
      <c r="J915" s="16" t="str">
        <f aca="false">IF(A915="","",IF(AND(C915="yes",N(G915)&gt;=7),N(E915),0))</f>
        <v/>
      </c>
      <c r="K915" s="17" t="str">
        <f aca="false">IF(A915="","",A915-WEEKDAY(A915,3))</f>
        <v/>
      </c>
      <c r="L915" s="11"/>
    </row>
    <row r="916" customFormat="false" ht="15" hidden="false" customHeight="false" outlineLevel="0" collapsed="false">
      <c r="A916" s="10"/>
      <c r="B916" s="11"/>
      <c r="C916" s="11"/>
      <c r="D916" s="11"/>
      <c r="E916" s="11"/>
      <c r="F916" s="11"/>
      <c r="G916" s="11"/>
      <c r="H916" s="15" t="str">
        <f aca="false">IF(OR(D916="",F916=""),"",IF(F916&lt;=1,D916,D916*(1+F916/30)))</f>
        <v/>
      </c>
      <c r="I916" s="15" t="str">
        <f aca="false">IF(OR(D916="",F916="",G916=""),"",IF(F916+MAX(0,10-G916)&lt;=1,D916,D916*(1+(F916+MAX(0,10-G916))/30)))</f>
        <v/>
      </c>
      <c r="J916" s="16" t="str">
        <f aca="false">IF(A916="","",IF(AND(C916="yes",N(G916)&gt;=7),N(E916),0))</f>
        <v/>
      </c>
      <c r="K916" s="17" t="str">
        <f aca="false">IF(A916="","",A916-WEEKDAY(A916,3))</f>
        <v/>
      </c>
      <c r="L916" s="11"/>
    </row>
    <row r="917" customFormat="false" ht="15" hidden="false" customHeight="false" outlineLevel="0" collapsed="false">
      <c r="A917" s="10"/>
      <c r="B917" s="11"/>
      <c r="C917" s="11"/>
      <c r="D917" s="11"/>
      <c r="E917" s="11"/>
      <c r="F917" s="11"/>
      <c r="G917" s="11"/>
      <c r="H917" s="15" t="str">
        <f aca="false">IF(OR(D917="",F917=""),"",IF(F917&lt;=1,D917,D917*(1+F917/30)))</f>
        <v/>
      </c>
      <c r="I917" s="15" t="str">
        <f aca="false">IF(OR(D917="",F917="",G917=""),"",IF(F917+MAX(0,10-G917)&lt;=1,D917,D917*(1+(F917+MAX(0,10-G917))/30)))</f>
        <v/>
      </c>
      <c r="J917" s="16" t="str">
        <f aca="false">IF(A917="","",IF(AND(C917="yes",N(G917)&gt;=7),N(E917),0))</f>
        <v/>
      </c>
      <c r="K917" s="17" t="str">
        <f aca="false">IF(A917="","",A917-WEEKDAY(A917,3))</f>
        <v/>
      </c>
      <c r="L917" s="11"/>
    </row>
    <row r="918" customFormat="false" ht="15" hidden="false" customHeight="false" outlineLevel="0" collapsed="false">
      <c r="A918" s="10"/>
      <c r="B918" s="11"/>
      <c r="C918" s="11"/>
      <c r="D918" s="11"/>
      <c r="E918" s="11"/>
      <c r="F918" s="11"/>
      <c r="G918" s="11"/>
      <c r="H918" s="15" t="str">
        <f aca="false">IF(OR(D918="",F918=""),"",IF(F918&lt;=1,D918,D918*(1+F918/30)))</f>
        <v/>
      </c>
      <c r="I918" s="15" t="str">
        <f aca="false">IF(OR(D918="",F918="",G918=""),"",IF(F918+MAX(0,10-G918)&lt;=1,D918,D918*(1+(F918+MAX(0,10-G918))/30)))</f>
        <v/>
      </c>
      <c r="J918" s="16" t="str">
        <f aca="false">IF(A918="","",IF(AND(C918="yes",N(G918)&gt;=7),N(E918),0))</f>
        <v/>
      </c>
      <c r="K918" s="17" t="str">
        <f aca="false">IF(A918="","",A918-WEEKDAY(A918,3))</f>
        <v/>
      </c>
      <c r="L918" s="11"/>
    </row>
    <row r="919" customFormat="false" ht="15" hidden="false" customHeight="false" outlineLevel="0" collapsed="false">
      <c r="A919" s="10"/>
      <c r="B919" s="11"/>
      <c r="C919" s="11"/>
      <c r="D919" s="11"/>
      <c r="E919" s="11"/>
      <c r="F919" s="11"/>
      <c r="G919" s="11"/>
      <c r="H919" s="15" t="str">
        <f aca="false">IF(OR(D919="",F919=""),"",IF(F919&lt;=1,D919,D919*(1+F919/30)))</f>
        <v/>
      </c>
      <c r="I919" s="15" t="str">
        <f aca="false">IF(OR(D919="",F919="",G919=""),"",IF(F919+MAX(0,10-G919)&lt;=1,D919,D919*(1+(F919+MAX(0,10-G919))/30)))</f>
        <v/>
      </c>
      <c r="J919" s="16" t="str">
        <f aca="false">IF(A919="","",IF(AND(C919="yes",N(G919)&gt;=7),N(E919),0))</f>
        <v/>
      </c>
      <c r="K919" s="17" t="str">
        <f aca="false">IF(A919="","",A919-WEEKDAY(A919,3))</f>
        <v/>
      </c>
      <c r="L919" s="11"/>
    </row>
    <row r="920" customFormat="false" ht="15" hidden="false" customHeight="false" outlineLevel="0" collapsed="false">
      <c r="A920" s="10"/>
      <c r="B920" s="11"/>
      <c r="C920" s="11"/>
      <c r="D920" s="11"/>
      <c r="E920" s="11"/>
      <c r="F920" s="11"/>
      <c r="G920" s="11"/>
      <c r="H920" s="15" t="str">
        <f aca="false">IF(OR(D920="",F920=""),"",IF(F920&lt;=1,D920,D920*(1+F920/30)))</f>
        <v/>
      </c>
      <c r="I920" s="15" t="str">
        <f aca="false">IF(OR(D920="",F920="",G920=""),"",IF(F920+MAX(0,10-G920)&lt;=1,D920,D920*(1+(F920+MAX(0,10-G920))/30)))</f>
        <v/>
      </c>
      <c r="J920" s="16" t="str">
        <f aca="false">IF(A920="","",IF(AND(C920="yes",N(G920)&gt;=7),N(E920),0))</f>
        <v/>
      </c>
      <c r="K920" s="17" t="str">
        <f aca="false">IF(A920="","",A920-WEEKDAY(A920,3))</f>
        <v/>
      </c>
      <c r="L920" s="11"/>
    </row>
    <row r="921" customFormat="false" ht="15" hidden="false" customHeight="false" outlineLevel="0" collapsed="false">
      <c r="A921" s="10"/>
      <c r="B921" s="11"/>
      <c r="C921" s="11"/>
      <c r="D921" s="11"/>
      <c r="E921" s="11"/>
      <c r="F921" s="11"/>
      <c r="G921" s="11"/>
      <c r="H921" s="15" t="str">
        <f aca="false">IF(OR(D921="",F921=""),"",IF(F921&lt;=1,D921,D921*(1+F921/30)))</f>
        <v/>
      </c>
      <c r="I921" s="15" t="str">
        <f aca="false">IF(OR(D921="",F921="",G921=""),"",IF(F921+MAX(0,10-G921)&lt;=1,D921,D921*(1+(F921+MAX(0,10-G921))/30)))</f>
        <v/>
      </c>
      <c r="J921" s="16" t="str">
        <f aca="false">IF(A921="","",IF(AND(C921="yes",N(G921)&gt;=7),N(E921),0))</f>
        <v/>
      </c>
      <c r="K921" s="17" t="str">
        <f aca="false">IF(A921="","",A921-WEEKDAY(A921,3))</f>
        <v/>
      </c>
      <c r="L921" s="11"/>
    </row>
    <row r="922" customFormat="false" ht="15" hidden="false" customHeight="false" outlineLevel="0" collapsed="false">
      <c r="A922" s="10"/>
      <c r="B922" s="11"/>
      <c r="C922" s="11"/>
      <c r="D922" s="11"/>
      <c r="E922" s="11"/>
      <c r="F922" s="11"/>
      <c r="G922" s="11"/>
      <c r="H922" s="15" t="str">
        <f aca="false">IF(OR(D922="",F922=""),"",IF(F922&lt;=1,D922,D922*(1+F922/30)))</f>
        <v/>
      </c>
      <c r="I922" s="15" t="str">
        <f aca="false">IF(OR(D922="",F922="",G922=""),"",IF(F922+MAX(0,10-G922)&lt;=1,D922,D922*(1+(F922+MAX(0,10-G922))/30)))</f>
        <v/>
      </c>
      <c r="J922" s="16" t="str">
        <f aca="false">IF(A922="","",IF(AND(C922="yes",N(G922)&gt;=7),N(E922),0))</f>
        <v/>
      </c>
      <c r="K922" s="17" t="str">
        <f aca="false">IF(A922="","",A922-WEEKDAY(A922,3))</f>
        <v/>
      </c>
      <c r="L922" s="11"/>
    </row>
    <row r="923" customFormat="false" ht="15" hidden="false" customHeight="false" outlineLevel="0" collapsed="false">
      <c r="A923" s="10"/>
      <c r="B923" s="11"/>
      <c r="C923" s="11"/>
      <c r="D923" s="11"/>
      <c r="E923" s="11"/>
      <c r="F923" s="11"/>
      <c r="G923" s="11"/>
      <c r="H923" s="15" t="str">
        <f aca="false">IF(OR(D923="",F923=""),"",IF(F923&lt;=1,D923,D923*(1+F923/30)))</f>
        <v/>
      </c>
      <c r="I923" s="15" t="str">
        <f aca="false">IF(OR(D923="",F923="",G923=""),"",IF(F923+MAX(0,10-G923)&lt;=1,D923,D923*(1+(F923+MAX(0,10-G923))/30)))</f>
        <v/>
      </c>
      <c r="J923" s="16" t="str">
        <f aca="false">IF(A923="","",IF(AND(C923="yes",N(G923)&gt;=7),N(E923),0))</f>
        <v/>
      </c>
      <c r="K923" s="17" t="str">
        <f aca="false">IF(A923="","",A923-WEEKDAY(A923,3))</f>
        <v/>
      </c>
      <c r="L923" s="11"/>
    </row>
    <row r="924" customFormat="false" ht="15" hidden="false" customHeight="false" outlineLevel="0" collapsed="false">
      <c r="A924" s="10"/>
      <c r="B924" s="11"/>
      <c r="C924" s="11"/>
      <c r="D924" s="11"/>
      <c r="E924" s="11"/>
      <c r="F924" s="11"/>
      <c r="G924" s="11"/>
      <c r="H924" s="15" t="str">
        <f aca="false">IF(OR(D924="",F924=""),"",IF(F924&lt;=1,D924,D924*(1+F924/30)))</f>
        <v/>
      </c>
      <c r="I924" s="15" t="str">
        <f aca="false">IF(OR(D924="",F924="",G924=""),"",IF(F924+MAX(0,10-G924)&lt;=1,D924,D924*(1+(F924+MAX(0,10-G924))/30)))</f>
        <v/>
      </c>
      <c r="J924" s="16" t="str">
        <f aca="false">IF(A924="","",IF(AND(C924="yes",N(G924)&gt;=7),N(E924),0))</f>
        <v/>
      </c>
      <c r="K924" s="17" t="str">
        <f aca="false">IF(A924="","",A924-WEEKDAY(A924,3))</f>
        <v/>
      </c>
      <c r="L924" s="11"/>
    </row>
    <row r="925" customFormat="false" ht="15" hidden="false" customHeight="false" outlineLevel="0" collapsed="false">
      <c r="A925" s="10"/>
      <c r="B925" s="11"/>
      <c r="C925" s="11"/>
      <c r="D925" s="11"/>
      <c r="E925" s="11"/>
      <c r="F925" s="11"/>
      <c r="G925" s="11"/>
      <c r="H925" s="15" t="str">
        <f aca="false">IF(OR(D925="",F925=""),"",IF(F925&lt;=1,D925,D925*(1+F925/30)))</f>
        <v/>
      </c>
      <c r="I925" s="15" t="str">
        <f aca="false">IF(OR(D925="",F925="",G925=""),"",IF(F925+MAX(0,10-G925)&lt;=1,D925,D925*(1+(F925+MAX(0,10-G925))/30)))</f>
        <v/>
      </c>
      <c r="J925" s="16" t="str">
        <f aca="false">IF(A925="","",IF(AND(C925="yes",N(G925)&gt;=7),N(E925),0))</f>
        <v/>
      </c>
      <c r="K925" s="17" t="str">
        <f aca="false">IF(A925="","",A925-WEEKDAY(A925,3))</f>
        <v/>
      </c>
      <c r="L925" s="11"/>
    </row>
    <row r="926" customFormat="false" ht="15" hidden="false" customHeight="false" outlineLevel="0" collapsed="false">
      <c r="A926" s="10"/>
      <c r="B926" s="11"/>
      <c r="C926" s="11"/>
      <c r="D926" s="11"/>
      <c r="E926" s="11"/>
      <c r="F926" s="11"/>
      <c r="G926" s="11"/>
      <c r="H926" s="15" t="str">
        <f aca="false">IF(OR(D926="",F926=""),"",IF(F926&lt;=1,D926,D926*(1+F926/30)))</f>
        <v/>
      </c>
      <c r="I926" s="15" t="str">
        <f aca="false">IF(OR(D926="",F926="",G926=""),"",IF(F926+MAX(0,10-G926)&lt;=1,D926,D926*(1+(F926+MAX(0,10-G926))/30)))</f>
        <v/>
      </c>
      <c r="J926" s="16" t="str">
        <f aca="false">IF(A926="","",IF(AND(C926="yes",N(G926)&gt;=7),N(E926),0))</f>
        <v/>
      </c>
      <c r="K926" s="17" t="str">
        <f aca="false">IF(A926="","",A926-WEEKDAY(A926,3))</f>
        <v/>
      </c>
      <c r="L926" s="11"/>
    </row>
    <row r="927" customFormat="false" ht="15" hidden="false" customHeight="false" outlineLevel="0" collapsed="false">
      <c r="A927" s="10"/>
      <c r="B927" s="11"/>
      <c r="C927" s="11"/>
      <c r="D927" s="11"/>
      <c r="E927" s="11"/>
      <c r="F927" s="11"/>
      <c r="G927" s="11"/>
      <c r="H927" s="15" t="str">
        <f aca="false">IF(OR(D927="",F927=""),"",IF(F927&lt;=1,D927,D927*(1+F927/30)))</f>
        <v/>
      </c>
      <c r="I927" s="15" t="str">
        <f aca="false">IF(OR(D927="",F927="",G927=""),"",IF(F927+MAX(0,10-G927)&lt;=1,D927,D927*(1+(F927+MAX(0,10-G927))/30)))</f>
        <v/>
      </c>
      <c r="J927" s="16" t="str">
        <f aca="false">IF(A927="","",IF(AND(C927="yes",N(G927)&gt;=7),N(E927),0))</f>
        <v/>
      </c>
      <c r="K927" s="17" t="str">
        <f aca="false">IF(A927="","",A927-WEEKDAY(A927,3))</f>
        <v/>
      </c>
      <c r="L927" s="11"/>
    </row>
    <row r="928" customFormat="false" ht="15" hidden="false" customHeight="false" outlineLevel="0" collapsed="false">
      <c r="A928" s="10"/>
      <c r="B928" s="11"/>
      <c r="C928" s="11"/>
      <c r="D928" s="11"/>
      <c r="E928" s="11"/>
      <c r="F928" s="11"/>
      <c r="G928" s="11"/>
      <c r="H928" s="15" t="str">
        <f aca="false">IF(OR(D928="",F928=""),"",IF(F928&lt;=1,D928,D928*(1+F928/30)))</f>
        <v/>
      </c>
      <c r="I928" s="15" t="str">
        <f aca="false">IF(OR(D928="",F928="",G928=""),"",IF(F928+MAX(0,10-G928)&lt;=1,D928,D928*(1+(F928+MAX(0,10-G928))/30)))</f>
        <v/>
      </c>
      <c r="J928" s="16" t="str">
        <f aca="false">IF(A928="","",IF(AND(C928="yes",N(G928)&gt;=7),N(E928),0))</f>
        <v/>
      </c>
      <c r="K928" s="17" t="str">
        <f aca="false">IF(A928="","",A928-WEEKDAY(A928,3))</f>
        <v/>
      </c>
      <c r="L928" s="11"/>
    </row>
    <row r="929" customFormat="false" ht="15" hidden="false" customHeight="false" outlineLevel="0" collapsed="false">
      <c r="A929" s="10"/>
      <c r="B929" s="11"/>
      <c r="C929" s="11"/>
      <c r="D929" s="11"/>
      <c r="E929" s="11"/>
      <c r="F929" s="11"/>
      <c r="G929" s="11"/>
      <c r="H929" s="15" t="str">
        <f aca="false">IF(OR(D929="",F929=""),"",IF(F929&lt;=1,D929,D929*(1+F929/30)))</f>
        <v/>
      </c>
      <c r="I929" s="15" t="str">
        <f aca="false">IF(OR(D929="",F929="",G929=""),"",IF(F929+MAX(0,10-G929)&lt;=1,D929,D929*(1+(F929+MAX(0,10-G929))/30)))</f>
        <v/>
      </c>
      <c r="J929" s="16" t="str">
        <f aca="false">IF(A929="","",IF(AND(C929="yes",N(G929)&gt;=7),N(E929),0))</f>
        <v/>
      </c>
      <c r="K929" s="17" t="str">
        <f aca="false">IF(A929="","",A929-WEEKDAY(A929,3))</f>
        <v/>
      </c>
      <c r="L929" s="11"/>
    </row>
    <row r="930" customFormat="false" ht="15" hidden="false" customHeight="false" outlineLevel="0" collapsed="false">
      <c r="A930" s="10"/>
      <c r="B930" s="11"/>
      <c r="C930" s="11"/>
      <c r="D930" s="11"/>
      <c r="E930" s="11"/>
      <c r="F930" s="11"/>
      <c r="G930" s="11"/>
      <c r="H930" s="15" t="str">
        <f aca="false">IF(OR(D930="",F930=""),"",IF(F930&lt;=1,D930,D930*(1+F930/30)))</f>
        <v/>
      </c>
      <c r="I930" s="15" t="str">
        <f aca="false">IF(OR(D930="",F930="",G930=""),"",IF(F930+MAX(0,10-G930)&lt;=1,D930,D930*(1+(F930+MAX(0,10-G930))/30)))</f>
        <v/>
      </c>
      <c r="J930" s="16" t="str">
        <f aca="false">IF(A930="","",IF(AND(C930="yes",N(G930)&gt;=7),N(E930),0))</f>
        <v/>
      </c>
      <c r="K930" s="17" t="str">
        <f aca="false">IF(A930="","",A930-WEEKDAY(A930,3))</f>
        <v/>
      </c>
      <c r="L930" s="11"/>
    </row>
    <row r="931" customFormat="false" ht="15" hidden="false" customHeight="false" outlineLevel="0" collapsed="false">
      <c r="A931" s="10"/>
      <c r="B931" s="11"/>
      <c r="C931" s="11"/>
      <c r="D931" s="11"/>
      <c r="E931" s="11"/>
      <c r="F931" s="11"/>
      <c r="G931" s="11"/>
      <c r="H931" s="15" t="str">
        <f aca="false">IF(OR(D931="",F931=""),"",IF(F931&lt;=1,D931,D931*(1+F931/30)))</f>
        <v/>
      </c>
      <c r="I931" s="15" t="str">
        <f aca="false">IF(OR(D931="",F931="",G931=""),"",IF(F931+MAX(0,10-G931)&lt;=1,D931,D931*(1+(F931+MAX(0,10-G931))/30)))</f>
        <v/>
      </c>
      <c r="J931" s="16" t="str">
        <f aca="false">IF(A931="","",IF(AND(C931="yes",N(G931)&gt;=7),N(E931),0))</f>
        <v/>
      </c>
      <c r="K931" s="17" t="str">
        <f aca="false">IF(A931="","",A931-WEEKDAY(A931,3))</f>
        <v/>
      </c>
      <c r="L931" s="11"/>
    </row>
    <row r="932" customFormat="false" ht="15" hidden="false" customHeight="false" outlineLevel="0" collapsed="false">
      <c r="A932" s="10"/>
      <c r="B932" s="11"/>
      <c r="C932" s="11"/>
      <c r="D932" s="11"/>
      <c r="E932" s="11"/>
      <c r="F932" s="11"/>
      <c r="G932" s="11"/>
      <c r="H932" s="15" t="str">
        <f aca="false">IF(OR(D932="",F932=""),"",IF(F932&lt;=1,D932,D932*(1+F932/30)))</f>
        <v/>
      </c>
      <c r="I932" s="15" t="str">
        <f aca="false">IF(OR(D932="",F932="",G932=""),"",IF(F932+MAX(0,10-G932)&lt;=1,D932,D932*(1+(F932+MAX(0,10-G932))/30)))</f>
        <v/>
      </c>
      <c r="J932" s="16" t="str">
        <f aca="false">IF(A932="","",IF(AND(C932="yes",N(G932)&gt;=7),N(E932),0))</f>
        <v/>
      </c>
      <c r="K932" s="17" t="str">
        <f aca="false">IF(A932="","",A932-WEEKDAY(A932,3))</f>
        <v/>
      </c>
      <c r="L932" s="11"/>
    </row>
    <row r="933" customFormat="false" ht="15" hidden="false" customHeight="false" outlineLevel="0" collapsed="false">
      <c r="A933" s="10"/>
      <c r="B933" s="11"/>
      <c r="C933" s="11"/>
      <c r="D933" s="11"/>
      <c r="E933" s="11"/>
      <c r="F933" s="11"/>
      <c r="G933" s="11"/>
      <c r="H933" s="15" t="str">
        <f aca="false">IF(OR(D933="",F933=""),"",IF(F933&lt;=1,D933,D933*(1+F933/30)))</f>
        <v/>
      </c>
      <c r="I933" s="15" t="str">
        <f aca="false">IF(OR(D933="",F933="",G933=""),"",IF(F933+MAX(0,10-G933)&lt;=1,D933,D933*(1+(F933+MAX(0,10-G933))/30)))</f>
        <v/>
      </c>
      <c r="J933" s="16" t="str">
        <f aca="false">IF(A933="","",IF(AND(C933="yes",N(G933)&gt;=7),N(E933),0))</f>
        <v/>
      </c>
      <c r="K933" s="17" t="str">
        <f aca="false">IF(A933="","",A933-WEEKDAY(A933,3))</f>
        <v/>
      </c>
      <c r="L933" s="11"/>
    </row>
    <row r="934" customFormat="false" ht="15" hidden="false" customHeight="false" outlineLevel="0" collapsed="false">
      <c r="A934" s="10"/>
      <c r="B934" s="11"/>
      <c r="C934" s="11"/>
      <c r="D934" s="11"/>
      <c r="E934" s="11"/>
      <c r="F934" s="11"/>
      <c r="G934" s="11"/>
      <c r="H934" s="15" t="str">
        <f aca="false">IF(OR(D934="",F934=""),"",IF(F934&lt;=1,D934,D934*(1+F934/30)))</f>
        <v/>
      </c>
      <c r="I934" s="15" t="str">
        <f aca="false">IF(OR(D934="",F934="",G934=""),"",IF(F934+MAX(0,10-G934)&lt;=1,D934,D934*(1+(F934+MAX(0,10-G934))/30)))</f>
        <v/>
      </c>
      <c r="J934" s="16" t="str">
        <f aca="false">IF(A934="","",IF(AND(C934="yes",N(G934)&gt;=7),N(E934),0))</f>
        <v/>
      </c>
      <c r="K934" s="17" t="str">
        <f aca="false">IF(A934="","",A934-WEEKDAY(A934,3))</f>
        <v/>
      </c>
      <c r="L934" s="11"/>
    </row>
    <row r="935" customFormat="false" ht="15" hidden="false" customHeight="false" outlineLevel="0" collapsed="false">
      <c r="A935" s="10"/>
      <c r="B935" s="11"/>
      <c r="C935" s="11"/>
      <c r="D935" s="11"/>
      <c r="E935" s="11"/>
      <c r="F935" s="11"/>
      <c r="G935" s="11"/>
      <c r="H935" s="15" t="str">
        <f aca="false">IF(OR(D935="",F935=""),"",IF(F935&lt;=1,D935,D935*(1+F935/30)))</f>
        <v/>
      </c>
      <c r="I935" s="15" t="str">
        <f aca="false">IF(OR(D935="",F935="",G935=""),"",IF(F935+MAX(0,10-G935)&lt;=1,D935,D935*(1+(F935+MAX(0,10-G935))/30)))</f>
        <v/>
      </c>
      <c r="J935" s="16" t="str">
        <f aca="false">IF(A935="","",IF(AND(C935="yes",N(G935)&gt;=7),N(E935),0))</f>
        <v/>
      </c>
      <c r="K935" s="17" t="str">
        <f aca="false">IF(A935="","",A935-WEEKDAY(A935,3))</f>
        <v/>
      </c>
      <c r="L935" s="11"/>
    </row>
    <row r="936" customFormat="false" ht="15" hidden="false" customHeight="false" outlineLevel="0" collapsed="false">
      <c r="A936" s="10"/>
      <c r="B936" s="11"/>
      <c r="C936" s="11"/>
      <c r="D936" s="11"/>
      <c r="E936" s="11"/>
      <c r="F936" s="11"/>
      <c r="G936" s="11"/>
      <c r="H936" s="15" t="str">
        <f aca="false">IF(OR(D936="",F936=""),"",IF(F936&lt;=1,D936,D936*(1+F936/30)))</f>
        <v/>
      </c>
      <c r="I936" s="15" t="str">
        <f aca="false">IF(OR(D936="",F936="",G936=""),"",IF(F936+MAX(0,10-G936)&lt;=1,D936,D936*(1+(F936+MAX(0,10-G936))/30)))</f>
        <v/>
      </c>
      <c r="J936" s="16" t="str">
        <f aca="false">IF(A936="","",IF(AND(C936="yes",N(G936)&gt;=7),N(E936),0))</f>
        <v/>
      </c>
      <c r="K936" s="17" t="str">
        <f aca="false">IF(A936="","",A936-WEEKDAY(A936,3))</f>
        <v/>
      </c>
      <c r="L936" s="11"/>
    </row>
    <row r="937" customFormat="false" ht="15" hidden="false" customHeight="false" outlineLevel="0" collapsed="false">
      <c r="A937" s="10"/>
      <c r="B937" s="11"/>
      <c r="C937" s="11"/>
      <c r="D937" s="11"/>
      <c r="E937" s="11"/>
      <c r="F937" s="11"/>
      <c r="G937" s="11"/>
      <c r="H937" s="15" t="str">
        <f aca="false">IF(OR(D937="",F937=""),"",IF(F937&lt;=1,D937,D937*(1+F937/30)))</f>
        <v/>
      </c>
      <c r="I937" s="15" t="str">
        <f aca="false">IF(OR(D937="",F937="",G937=""),"",IF(F937+MAX(0,10-G937)&lt;=1,D937,D937*(1+(F937+MAX(0,10-G937))/30)))</f>
        <v/>
      </c>
      <c r="J937" s="16" t="str">
        <f aca="false">IF(A937="","",IF(AND(C937="yes",N(G937)&gt;=7),N(E937),0))</f>
        <v/>
      </c>
      <c r="K937" s="17" t="str">
        <f aca="false">IF(A937="","",A937-WEEKDAY(A937,3))</f>
        <v/>
      </c>
      <c r="L937" s="11"/>
    </row>
    <row r="938" customFormat="false" ht="15" hidden="false" customHeight="false" outlineLevel="0" collapsed="false">
      <c r="A938" s="10"/>
      <c r="B938" s="11"/>
      <c r="C938" s="11"/>
      <c r="D938" s="11"/>
      <c r="E938" s="11"/>
      <c r="F938" s="11"/>
      <c r="G938" s="11"/>
      <c r="H938" s="15" t="str">
        <f aca="false">IF(OR(D938="",F938=""),"",IF(F938&lt;=1,D938,D938*(1+F938/30)))</f>
        <v/>
      </c>
      <c r="I938" s="15" t="str">
        <f aca="false">IF(OR(D938="",F938="",G938=""),"",IF(F938+MAX(0,10-G938)&lt;=1,D938,D938*(1+(F938+MAX(0,10-G938))/30)))</f>
        <v/>
      </c>
      <c r="J938" s="16" t="str">
        <f aca="false">IF(A938="","",IF(AND(C938="yes",N(G938)&gt;=7),N(E938),0))</f>
        <v/>
      </c>
      <c r="K938" s="17" t="str">
        <f aca="false">IF(A938="","",A938-WEEKDAY(A938,3))</f>
        <v/>
      </c>
      <c r="L938" s="11"/>
    </row>
    <row r="939" customFormat="false" ht="15" hidden="false" customHeight="false" outlineLevel="0" collapsed="false">
      <c r="A939" s="10"/>
      <c r="B939" s="11"/>
      <c r="C939" s="11"/>
      <c r="D939" s="11"/>
      <c r="E939" s="11"/>
      <c r="F939" s="11"/>
      <c r="G939" s="11"/>
      <c r="H939" s="15" t="str">
        <f aca="false">IF(OR(D939="",F939=""),"",IF(F939&lt;=1,D939,D939*(1+F939/30)))</f>
        <v/>
      </c>
      <c r="I939" s="15" t="str">
        <f aca="false">IF(OR(D939="",F939="",G939=""),"",IF(F939+MAX(0,10-G939)&lt;=1,D939,D939*(1+(F939+MAX(0,10-G939))/30)))</f>
        <v/>
      </c>
      <c r="J939" s="16" t="str">
        <f aca="false">IF(A939="","",IF(AND(C939="yes",N(G939)&gt;=7),N(E939),0))</f>
        <v/>
      </c>
      <c r="K939" s="17" t="str">
        <f aca="false">IF(A939="","",A939-WEEKDAY(A939,3))</f>
        <v/>
      </c>
      <c r="L939" s="11"/>
    </row>
    <row r="940" customFormat="false" ht="15" hidden="false" customHeight="false" outlineLevel="0" collapsed="false">
      <c r="A940" s="10"/>
      <c r="B940" s="11"/>
      <c r="C940" s="11"/>
      <c r="D940" s="11"/>
      <c r="E940" s="11"/>
      <c r="F940" s="11"/>
      <c r="G940" s="11"/>
      <c r="H940" s="15" t="str">
        <f aca="false">IF(OR(D940="",F940=""),"",IF(F940&lt;=1,D940,D940*(1+F940/30)))</f>
        <v/>
      </c>
      <c r="I940" s="15" t="str">
        <f aca="false">IF(OR(D940="",F940="",G940=""),"",IF(F940+MAX(0,10-G940)&lt;=1,D940,D940*(1+(F940+MAX(0,10-G940))/30)))</f>
        <v/>
      </c>
      <c r="J940" s="16" t="str">
        <f aca="false">IF(A940="","",IF(AND(C940="yes",N(G940)&gt;=7),N(E940),0))</f>
        <v/>
      </c>
      <c r="K940" s="17" t="str">
        <f aca="false">IF(A940="","",A940-WEEKDAY(A940,3))</f>
        <v/>
      </c>
      <c r="L940" s="11"/>
    </row>
    <row r="941" customFormat="false" ht="15" hidden="false" customHeight="false" outlineLevel="0" collapsed="false">
      <c r="A941" s="10"/>
      <c r="B941" s="11"/>
      <c r="C941" s="11"/>
      <c r="D941" s="11"/>
      <c r="E941" s="11"/>
      <c r="F941" s="11"/>
      <c r="G941" s="11"/>
      <c r="H941" s="15" t="str">
        <f aca="false">IF(OR(D941="",F941=""),"",IF(F941&lt;=1,D941,D941*(1+F941/30)))</f>
        <v/>
      </c>
      <c r="I941" s="15" t="str">
        <f aca="false">IF(OR(D941="",F941="",G941=""),"",IF(F941+MAX(0,10-G941)&lt;=1,D941,D941*(1+(F941+MAX(0,10-G941))/30)))</f>
        <v/>
      </c>
      <c r="J941" s="16" t="str">
        <f aca="false">IF(A941="","",IF(AND(C941="yes",N(G941)&gt;=7),N(E941),0))</f>
        <v/>
      </c>
      <c r="K941" s="17" t="str">
        <f aca="false">IF(A941="","",A941-WEEKDAY(A941,3))</f>
        <v/>
      </c>
      <c r="L941" s="11"/>
    </row>
    <row r="942" customFormat="false" ht="15" hidden="false" customHeight="false" outlineLevel="0" collapsed="false">
      <c r="A942" s="10"/>
      <c r="B942" s="11"/>
      <c r="C942" s="11"/>
      <c r="D942" s="11"/>
      <c r="E942" s="11"/>
      <c r="F942" s="11"/>
      <c r="G942" s="11"/>
      <c r="H942" s="15" t="str">
        <f aca="false">IF(OR(D942="",F942=""),"",IF(F942&lt;=1,D942,D942*(1+F942/30)))</f>
        <v/>
      </c>
      <c r="I942" s="15" t="str">
        <f aca="false">IF(OR(D942="",F942="",G942=""),"",IF(F942+MAX(0,10-G942)&lt;=1,D942,D942*(1+(F942+MAX(0,10-G942))/30)))</f>
        <v/>
      </c>
      <c r="J942" s="16" t="str">
        <f aca="false">IF(A942="","",IF(AND(C942="yes",N(G942)&gt;=7),N(E942),0))</f>
        <v/>
      </c>
      <c r="K942" s="17" t="str">
        <f aca="false">IF(A942="","",A942-WEEKDAY(A942,3))</f>
        <v/>
      </c>
      <c r="L942" s="11"/>
    </row>
    <row r="943" customFormat="false" ht="15" hidden="false" customHeight="false" outlineLevel="0" collapsed="false">
      <c r="A943" s="10"/>
      <c r="B943" s="11"/>
      <c r="C943" s="11"/>
      <c r="D943" s="11"/>
      <c r="E943" s="11"/>
      <c r="F943" s="11"/>
      <c r="G943" s="11"/>
      <c r="H943" s="15" t="str">
        <f aca="false">IF(OR(D943="",F943=""),"",IF(F943&lt;=1,D943,D943*(1+F943/30)))</f>
        <v/>
      </c>
      <c r="I943" s="15" t="str">
        <f aca="false">IF(OR(D943="",F943="",G943=""),"",IF(F943+MAX(0,10-G943)&lt;=1,D943,D943*(1+(F943+MAX(0,10-G943))/30)))</f>
        <v/>
      </c>
      <c r="J943" s="16" t="str">
        <f aca="false">IF(A943="","",IF(AND(C943="yes",N(G943)&gt;=7),N(E943),0))</f>
        <v/>
      </c>
      <c r="K943" s="17" t="str">
        <f aca="false">IF(A943="","",A943-WEEKDAY(A943,3))</f>
        <v/>
      </c>
      <c r="L943" s="11"/>
    </row>
    <row r="944" customFormat="false" ht="15" hidden="false" customHeight="false" outlineLevel="0" collapsed="false">
      <c r="A944" s="10"/>
      <c r="B944" s="11"/>
      <c r="C944" s="11"/>
      <c r="D944" s="11"/>
      <c r="E944" s="11"/>
      <c r="F944" s="11"/>
      <c r="G944" s="11"/>
      <c r="H944" s="15" t="str">
        <f aca="false">IF(OR(D944="",F944=""),"",IF(F944&lt;=1,D944,D944*(1+F944/30)))</f>
        <v/>
      </c>
      <c r="I944" s="15" t="str">
        <f aca="false">IF(OR(D944="",F944="",G944=""),"",IF(F944+MAX(0,10-G944)&lt;=1,D944,D944*(1+(F944+MAX(0,10-G944))/30)))</f>
        <v/>
      </c>
      <c r="J944" s="16" t="str">
        <f aca="false">IF(A944="","",IF(AND(C944="yes",N(G944)&gt;=7),N(E944),0))</f>
        <v/>
      </c>
      <c r="K944" s="17" t="str">
        <f aca="false">IF(A944="","",A944-WEEKDAY(A944,3))</f>
        <v/>
      </c>
      <c r="L944" s="11"/>
    </row>
    <row r="945" customFormat="false" ht="15" hidden="false" customHeight="false" outlineLevel="0" collapsed="false">
      <c r="A945" s="10"/>
      <c r="B945" s="11"/>
      <c r="C945" s="11"/>
      <c r="D945" s="11"/>
      <c r="E945" s="11"/>
      <c r="F945" s="11"/>
      <c r="G945" s="11"/>
      <c r="H945" s="15" t="str">
        <f aca="false">IF(OR(D945="",F945=""),"",IF(F945&lt;=1,D945,D945*(1+F945/30)))</f>
        <v/>
      </c>
      <c r="I945" s="15" t="str">
        <f aca="false">IF(OR(D945="",F945="",G945=""),"",IF(F945+MAX(0,10-G945)&lt;=1,D945,D945*(1+(F945+MAX(0,10-G945))/30)))</f>
        <v/>
      </c>
      <c r="J945" s="16" t="str">
        <f aca="false">IF(A945="","",IF(AND(C945="yes",N(G945)&gt;=7),N(E945),0))</f>
        <v/>
      </c>
      <c r="K945" s="17" t="str">
        <f aca="false">IF(A945="","",A945-WEEKDAY(A945,3))</f>
        <v/>
      </c>
      <c r="L945" s="11"/>
    </row>
    <row r="946" customFormat="false" ht="15" hidden="false" customHeight="false" outlineLevel="0" collapsed="false">
      <c r="A946" s="10"/>
      <c r="B946" s="11"/>
      <c r="C946" s="11"/>
      <c r="D946" s="11"/>
      <c r="E946" s="11"/>
      <c r="F946" s="11"/>
      <c r="G946" s="11"/>
      <c r="H946" s="15" t="str">
        <f aca="false">IF(OR(D946="",F946=""),"",IF(F946&lt;=1,D946,D946*(1+F946/30)))</f>
        <v/>
      </c>
      <c r="I946" s="15" t="str">
        <f aca="false">IF(OR(D946="",F946="",G946=""),"",IF(F946+MAX(0,10-G946)&lt;=1,D946,D946*(1+(F946+MAX(0,10-G946))/30)))</f>
        <v/>
      </c>
      <c r="J946" s="16" t="str">
        <f aca="false">IF(A946="","",IF(AND(C946="yes",N(G946)&gt;=7),N(E946),0))</f>
        <v/>
      </c>
      <c r="K946" s="17" t="str">
        <f aca="false">IF(A946="","",A946-WEEKDAY(A946,3))</f>
        <v/>
      </c>
      <c r="L946" s="11"/>
    </row>
    <row r="947" customFormat="false" ht="15" hidden="false" customHeight="false" outlineLevel="0" collapsed="false">
      <c r="A947" s="10"/>
      <c r="B947" s="11"/>
      <c r="C947" s="11"/>
      <c r="D947" s="11"/>
      <c r="E947" s="11"/>
      <c r="F947" s="11"/>
      <c r="G947" s="11"/>
      <c r="H947" s="15" t="str">
        <f aca="false">IF(OR(D947="",F947=""),"",IF(F947&lt;=1,D947,D947*(1+F947/30)))</f>
        <v/>
      </c>
      <c r="I947" s="15" t="str">
        <f aca="false">IF(OR(D947="",F947="",G947=""),"",IF(F947+MAX(0,10-G947)&lt;=1,D947,D947*(1+(F947+MAX(0,10-G947))/30)))</f>
        <v/>
      </c>
      <c r="J947" s="16" t="str">
        <f aca="false">IF(A947="","",IF(AND(C947="yes",N(G947)&gt;=7),N(E947),0))</f>
        <v/>
      </c>
      <c r="K947" s="17" t="str">
        <f aca="false">IF(A947="","",A947-WEEKDAY(A947,3))</f>
        <v/>
      </c>
      <c r="L947" s="11"/>
    </row>
    <row r="948" customFormat="false" ht="15" hidden="false" customHeight="false" outlineLevel="0" collapsed="false">
      <c r="A948" s="10"/>
      <c r="B948" s="11"/>
      <c r="C948" s="11"/>
      <c r="D948" s="11"/>
      <c r="E948" s="11"/>
      <c r="F948" s="11"/>
      <c r="G948" s="11"/>
      <c r="H948" s="15" t="str">
        <f aca="false">IF(OR(D948="",F948=""),"",IF(F948&lt;=1,D948,D948*(1+F948/30)))</f>
        <v/>
      </c>
      <c r="I948" s="15" t="str">
        <f aca="false">IF(OR(D948="",F948="",G948=""),"",IF(F948+MAX(0,10-G948)&lt;=1,D948,D948*(1+(F948+MAX(0,10-G948))/30)))</f>
        <v/>
      </c>
      <c r="J948" s="16" t="str">
        <f aca="false">IF(A948="","",IF(AND(C948="yes",N(G948)&gt;=7),N(E948),0))</f>
        <v/>
      </c>
      <c r="K948" s="17" t="str">
        <f aca="false">IF(A948="","",A948-WEEKDAY(A948,3))</f>
        <v/>
      </c>
      <c r="L948" s="11"/>
    </row>
    <row r="949" customFormat="false" ht="15" hidden="false" customHeight="false" outlineLevel="0" collapsed="false">
      <c r="A949" s="10"/>
      <c r="B949" s="11"/>
      <c r="C949" s="11"/>
      <c r="D949" s="11"/>
      <c r="E949" s="11"/>
      <c r="F949" s="11"/>
      <c r="G949" s="11"/>
      <c r="H949" s="15" t="str">
        <f aca="false">IF(OR(D949="",F949=""),"",IF(F949&lt;=1,D949,D949*(1+F949/30)))</f>
        <v/>
      </c>
      <c r="I949" s="15" t="str">
        <f aca="false">IF(OR(D949="",F949="",G949=""),"",IF(F949+MAX(0,10-G949)&lt;=1,D949,D949*(1+(F949+MAX(0,10-G949))/30)))</f>
        <v/>
      </c>
      <c r="J949" s="16" t="str">
        <f aca="false">IF(A949="","",IF(AND(C949="yes",N(G949)&gt;=7),N(E949),0))</f>
        <v/>
      </c>
      <c r="K949" s="17" t="str">
        <f aca="false">IF(A949="","",A949-WEEKDAY(A949,3))</f>
        <v/>
      </c>
      <c r="L949" s="11"/>
    </row>
    <row r="950" customFormat="false" ht="15" hidden="false" customHeight="false" outlineLevel="0" collapsed="false">
      <c r="A950" s="10"/>
      <c r="B950" s="11"/>
      <c r="C950" s="11"/>
      <c r="D950" s="11"/>
      <c r="E950" s="11"/>
      <c r="F950" s="11"/>
      <c r="G950" s="11"/>
      <c r="H950" s="15" t="str">
        <f aca="false">IF(OR(D950="",F950=""),"",IF(F950&lt;=1,D950,D950*(1+F950/30)))</f>
        <v/>
      </c>
      <c r="I950" s="15" t="str">
        <f aca="false">IF(OR(D950="",F950="",G950=""),"",IF(F950+MAX(0,10-G950)&lt;=1,D950,D950*(1+(F950+MAX(0,10-G950))/30)))</f>
        <v/>
      </c>
      <c r="J950" s="16" t="str">
        <f aca="false">IF(A950="","",IF(AND(C950="yes",N(G950)&gt;=7),N(E950),0))</f>
        <v/>
      </c>
      <c r="K950" s="17" t="str">
        <f aca="false">IF(A950="","",A950-WEEKDAY(A950,3))</f>
        <v/>
      </c>
      <c r="L950" s="11"/>
    </row>
    <row r="951" customFormat="false" ht="15" hidden="false" customHeight="false" outlineLevel="0" collapsed="false">
      <c r="A951" s="10"/>
      <c r="B951" s="11"/>
      <c r="C951" s="11"/>
      <c r="D951" s="11"/>
      <c r="E951" s="11"/>
      <c r="F951" s="11"/>
      <c r="G951" s="11"/>
      <c r="H951" s="15" t="str">
        <f aca="false">IF(OR(D951="",F951=""),"",IF(F951&lt;=1,D951,D951*(1+F951/30)))</f>
        <v/>
      </c>
      <c r="I951" s="15" t="str">
        <f aca="false">IF(OR(D951="",F951="",G951=""),"",IF(F951+MAX(0,10-G951)&lt;=1,D951,D951*(1+(F951+MAX(0,10-G951))/30)))</f>
        <v/>
      </c>
      <c r="J951" s="16" t="str">
        <f aca="false">IF(A951="","",IF(AND(C951="yes",N(G951)&gt;=7),N(E951),0))</f>
        <v/>
      </c>
      <c r="K951" s="17" t="str">
        <f aca="false">IF(A951="","",A951-WEEKDAY(A951,3))</f>
        <v/>
      </c>
      <c r="L951" s="11"/>
    </row>
    <row r="952" customFormat="false" ht="15" hidden="false" customHeight="false" outlineLevel="0" collapsed="false">
      <c r="A952" s="10"/>
      <c r="B952" s="11"/>
      <c r="C952" s="11"/>
      <c r="D952" s="11"/>
      <c r="E952" s="11"/>
      <c r="F952" s="11"/>
      <c r="G952" s="11"/>
      <c r="H952" s="15" t="str">
        <f aca="false">IF(OR(D952="",F952=""),"",IF(F952&lt;=1,D952,D952*(1+F952/30)))</f>
        <v/>
      </c>
      <c r="I952" s="15" t="str">
        <f aca="false">IF(OR(D952="",F952="",G952=""),"",IF(F952+MAX(0,10-G952)&lt;=1,D952,D952*(1+(F952+MAX(0,10-G952))/30)))</f>
        <v/>
      </c>
      <c r="J952" s="16" t="str">
        <f aca="false">IF(A952="","",IF(AND(C952="yes",N(G952)&gt;=7),N(E952),0))</f>
        <v/>
      </c>
      <c r="K952" s="17" t="str">
        <f aca="false">IF(A952="","",A952-WEEKDAY(A952,3))</f>
        <v/>
      </c>
      <c r="L952" s="11"/>
    </row>
    <row r="953" customFormat="false" ht="15" hidden="false" customHeight="false" outlineLevel="0" collapsed="false">
      <c r="A953" s="10"/>
      <c r="B953" s="11"/>
      <c r="C953" s="11"/>
      <c r="D953" s="11"/>
      <c r="E953" s="11"/>
      <c r="F953" s="11"/>
      <c r="G953" s="11"/>
      <c r="H953" s="15" t="str">
        <f aca="false">IF(OR(D953="",F953=""),"",IF(F953&lt;=1,D953,D953*(1+F953/30)))</f>
        <v/>
      </c>
      <c r="I953" s="15" t="str">
        <f aca="false">IF(OR(D953="",F953="",G953=""),"",IF(F953+MAX(0,10-G953)&lt;=1,D953,D953*(1+(F953+MAX(0,10-G953))/30)))</f>
        <v/>
      </c>
      <c r="J953" s="16" t="str">
        <f aca="false">IF(A953="","",IF(AND(C953="yes",N(G953)&gt;=7),N(E953),0))</f>
        <v/>
      </c>
      <c r="K953" s="17" t="str">
        <f aca="false">IF(A953="","",A953-WEEKDAY(A953,3))</f>
        <v/>
      </c>
      <c r="L953" s="11"/>
    </row>
    <row r="954" customFormat="false" ht="15" hidden="false" customHeight="false" outlineLevel="0" collapsed="false">
      <c r="A954" s="10"/>
      <c r="B954" s="11"/>
      <c r="C954" s="11"/>
      <c r="D954" s="11"/>
      <c r="E954" s="11"/>
      <c r="F954" s="11"/>
      <c r="G954" s="11"/>
      <c r="H954" s="15" t="str">
        <f aca="false">IF(OR(D954="",F954=""),"",IF(F954&lt;=1,D954,D954*(1+F954/30)))</f>
        <v/>
      </c>
      <c r="I954" s="15" t="str">
        <f aca="false">IF(OR(D954="",F954="",G954=""),"",IF(F954+MAX(0,10-G954)&lt;=1,D954,D954*(1+(F954+MAX(0,10-G954))/30)))</f>
        <v/>
      </c>
      <c r="J954" s="16" t="str">
        <f aca="false">IF(A954="","",IF(AND(C954="yes",N(G954)&gt;=7),N(E954),0))</f>
        <v/>
      </c>
      <c r="K954" s="17" t="str">
        <f aca="false">IF(A954="","",A954-WEEKDAY(A954,3))</f>
        <v/>
      </c>
      <c r="L954" s="11"/>
    </row>
    <row r="955" customFormat="false" ht="15" hidden="false" customHeight="false" outlineLevel="0" collapsed="false">
      <c r="A955" s="10"/>
      <c r="B955" s="11"/>
      <c r="C955" s="11"/>
      <c r="D955" s="11"/>
      <c r="E955" s="11"/>
      <c r="F955" s="11"/>
      <c r="G955" s="11"/>
      <c r="H955" s="15" t="str">
        <f aca="false">IF(OR(D955="",F955=""),"",IF(F955&lt;=1,D955,D955*(1+F955/30)))</f>
        <v/>
      </c>
      <c r="I955" s="15" t="str">
        <f aca="false">IF(OR(D955="",F955="",G955=""),"",IF(F955+MAX(0,10-G955)&lt;=1,D955,D955*(1+(F955+MAX(0,10-G955))/30)))</f>
        <v/>
      </c>
      <c r="J955" s="16" t="str">
        <f aca="false">IF(A955="","",IF(AND(C955="yes",N(G955)&gt;=7),N(E955),0))</f>
        <v/>
      </c>
      <c r="K955" s="17" t="str">
        <f aca="false">IF(A955="","",A955-WEEKDAY(A955,3))</f>
        <v/>
      </c>
      <c r="L955" s="11"/>
    </row>
    <row r="956" customFormat="false" ht="15" hidden="false" customHeight="false" outlineLevel="0" collapsed="false">
      <c r="A956" s="10"/>
      <c r="B956" s="11"/>
      <c r="C956" s="11"/>
      <c r="D956" s="11"/>
      <c r="E956" s="11"/>
      <c r="F956" s="11"/>
      <c r="G956" s="11"/>
      <c r="H956" s="15" t="str">
        <f aca="false">IF(OR(D956="",F956=""),"",IF(F956&lt;=1,D956,D956*(1+F956/30)))</f>
        <v/>
      </c>
      <c r="I956" s="15" t="str">
        <f aca="false">IF(OR(D956="",F956="",G956=""),"",IF(F956+MAX(0,10-G956)&lt;=1,D956,D956*(1+(F956+MAX(0,10-G956))/30)))</f>
        <v/>
      </c>
      <c r="J956" s="16" t="str">
        <f aca="false">IF(A956="","",IF(AND(C956="yes",N(G956)&gt;=7),N(E956),0))</f>
        <v/>
      </c>
      <c r="K956" s="17" t="str">
        <f aca="false">IF(A956="","",A956-WEEKDAY(A956,3))</f>
        <v/>
      </c>
      <c r="L956" s="11"/>
    </row>
    <row r="957" customFormat="false" ht="15" hidden="false" customHeight="false" outlineLevel="0" collapsed="false">
      <c r="A957" s="10"/>
      <c r="B957" s="11"/>
      <c r="C957" s="11"/>
      <c r="D957" s="11"/>
      <c r="E957" s="11"/>
      <c r="F957" s="11"/>
      <c r="G957" s="11"/>
      <c r="H957" s="15" t="str">
        <f aca="false">IF(OR(D957="",F957=""),"",IF(F957&lt;=1,D957,D957*(1+F957/30)))</f>
        <v/>
      </c>
      <c r="I957" s="15" t="str">
        <f aca="false">IF(OR(D957="",F957="",G957=""),"",IF(F957+MAX(0,10-G957)&lt;=1,D957,D957*(1+(F957+MAX(0,10-G957))/30)))</f>
        <v/>
      </c>
      <c r="J957" s="16" t="str">
        <f aca="false">IF(A957="","",IF(AND(C957="yes",N(G957)&gt;=7),N(E957),0))</f>
        <v/>
      </c>
      <c r="K957" s="17" t="str">
        <f aca="false">IF(A957="","",A957-WEEKDAY(A957,3))</f>
        <v/>
      </c>
      <c r="L957" s="11"/>
    </row>
    <row r="958" customFormat="false" ht="15" hidden="false" customHeight="false" outlineLevel="0" collapsed="false">
      <c r="A958" s="10"/>
      <c r="B958" s="11"/>
      <c r="C958" s="11"/>
      <c r="D958" s="11"/>
      <c r="E958" s="11"/>
      <c r="F958" s="11"/>
      <c r="G958" s="11"/>
      <c r="H958" s="15" t="str">
        <f aca="false">IF(OR(D958="",F958=""),"",IF(F958&lt;=1,D958,D958*(1+F958/30)))</f>
        <v/>
      </c>
      <c r="I958" s="15" t="str">
        <f aca="false">IF(OR(D958="",F958="",G958=""),"",IF(F958+MAX(0,10-G958)&lt;=1,D958,D958*(1+(F958+MAX(0,10-G958))/30)))</f>
        <v/>
      </c>
      <c r="J958" s="16" t="str">
        <f aca="false">IF(A958="","",IF(AND(C958="yes",N(G958)&gt;=7),N(E958),0))</f>
        <v/>
      </c>
      <c r="K958" s="17" t="str">
        <f aca="false">IF(A958="","",A958-WEEKDAY(A958,3))</f>
        <v/>
      </c>
      <c r="L958" s="11"/>
    </row>
    <row r="959" customFormat="false" ht="15" hidden="false" customHeight="false" outlineLevel="0" collapsed="false">
      <c r="A959" s="10"/>
      <c r="B959" s="11"/>
      <c r="C959" s="11"/>
      <c r="D959" s="11"/>
      <c r="E959" s="11"/>
      <c r="F959" s="11"/>
      <c r="G959" s="11"/>
      <c r="H959" s="15" t="str">
        <f aca="false">IF(OR(D959="",F959=""),"",IF(F959&lt;=1,D959,D959*(1+F959/30)))</f>
        <v/>
      </c>
      <c r="I959" s="15" t="str">
        <f aca="false">IF(OR(D959="",F959="",G959=""),"",IF(F959+MAX(0,10-G959)&lt;=1,D959,D959*(1+(F959+MAX(0,10-G959))/30)))</f>
        <v/>
      </c>
      <c r="J959" s="16" t="str">
        <f aca="false">IF(A959="","",IF(AND(C959="yes",N(G959)&gt;=7),N(E959),0))</f>
        <v/>
      </c>
      <c r="K959" s="17" t="str">
        <f aca="false">IF(A959="","",A959-WEEKDAY(A959,3))</f>
        <v/>
      </c>
      <c r="L959" s="11"/>
    </row>
    <row r="960" customFormat="false" ht="15" hidden="false" customHeight="false" outlineLevel="0" collapsed="false">
      <c r="A960" s="10"/>
      <c r="B960" s="11"/>
      <c r="C960" s="11"/>
      <c r="D960" s="11"/>
      <c r="E960" s="11"/>
      <c r="F960" s="11"/>
      <c r="G960" s="11"/>
      <c r="H960" s="15" t="str">
        <f aca="false">IF(OR(D960="",F960=""),"",IF(F960&lt;=1,D960,D960*(1+F960/30)))</f>
        <v/>
      </c>
      <c r="I960" s="15" t="str">
        <f aca="false">IF(OR(D960="",F960="",G960=""),"",IF(F960+MAX(0,10-G960)&lt;=1,D960,D960*(1+(F960+MAX(0,10-G960))/30)))</f>
        <v/>
      </c>
      <c r="J960" s="16" t="str">
        <f aca="false">IF(A960="","",IF(AND(C960="yes",N(G960)&gt;=7),N(E960),0))</f>
        <v/>
      </c>
      <c r="K960" s="17" t="str">
        <f aca="false">IF(A960="","",A960-WEEKDAY(A960,3))</f>
        <v/>
      </c>
      <c r="L960" s="11"/>
    </row>
    <row r="961" customFormat="false" ht="15" hidden="false" customHeight="false" outlineLevel="0" collapsed="false">
      <c r="A961" s="10"/>
      <c r="B961" s="11"/>
      <c r="C961" s="11"/>
      <c r="D961" s="11"/>
      <c r="E961" s="11"/>
      <c r="F961" s="11"/>
      <c r="G961" s="11"/>
      <c r="H961" s="15" t="str">
        <f aca="false">IF(OR(D961="",F961=""),"",IF(F961&lt;=1,D961,D961*(1+F961/30)))</f>
        <v/>
      </c>
      <c r="I961" s="15" t="str">
        <f aca="false">IF(OR(D961="",F961="",G961=""),"",IF(F961+MAX(0,10-G961)&lt;=1,D961,D961*(1+(F961+MAX(0,10-G961))/30)))</f>
        <v/>
      </c>
      <c r="J961" s="16" t="str">
        <f aca="false">IF(A961="","",IF(AND(C961="yes",N(G961)&gt;=7),N(E961),0))</f>
        <v/>
      </c>
      <c r="K961" s="17" t="str">
        <f aca="false">IF(A961="","",A961-WEEKDAY(A961,3))</f>
        <v/>
      </c>
      <c r="L961" s="11"/>
    </row>
    <row r="962" customFormat="false" ht="15" hidden="false" customHeight="false" outlineLevel="0" collapsed="false">
      <c r="A962" s="10"/>
      <c r="B962" s="11"/>
      <c r="C962" s="11"/>
      <c r="D962" s="11"/>
      <c r="E962" s="11"/>
      <c r="F962" s="11"/>
      <c r="G962" s="11"/>
      <c r="H962" s="15" t="str">
        <f aca="false">IF(OR(D962="",F962=""),"",IF(F962&lt;=1,D962,D962*(1+F962/30)))</f>
        <v/>
      </c>
      <c r="I962" s="15" t="str">
        <f aca="false">IF(OR(D962="",F962="",G962=""),"",IF(F962+MAX(0,10-G962)&lt;=1,D962,D962*(1+(F962+MAX(0,10-G962))/30)))</f>
        <v/>
      </c>
      <c r="J962" s="16" t="str">
        <f aca="false">IF(A962="","",IF(AND(C962="yes",N(G962)&gt;=7),N(E962),0))</f>
        <v/>
      </c>
      <c r="K962" s="17" t="str">
        <f aca="false">IF(A962="","",A962-WEEKDAY(A962,3))</f>
        <v/>
      </c>
      <c r="L962" s="11"/>
    </row>
    <row r="963" customFormat="false" ht="15" hidden="false" customHeight="false" outlineLevel="0" collapsed="false">
      <c r="A963" s="10"/>
      <c r="B963" s="11"/>
      <c r="C963" s="11"/>
      <c r="D963" s="11"/>
      <c r="E963" s="11"/>
      <c r="F963" s="11"/>
      <c r="G963" s="11"/>
      <c r="H963" s="15" t="str">
        <f aca="false">IF(OR(D963="",F963=""),"",IF(F963&lt;=1,D963,D963*(1+F963/30)))</f>
        <v/>
      </c>
      <c r="I963" s="15" t="str">
        <f aca="false">IF(OR(D963="",F963="",G963=""),"",IF(F963+MAX(0,10-G963)&lt;=1,D963,D963*(1+(F963+MAX(0,10-G963))/30)))</f>
        <v/>
      </c>
      <c r="J963" s="16" t="str">
        <f aca="false">IF(A963="","",IF(AND(C963="yes",N(G963)&gt;=7),N(E963),0))</f>
        <v/>
      </c>
      <c r="K963" s="17" t="str">
        <f aca="false">IF(A963="","",A963-WEEKDAY(A963,3))</f>
        <v/>
      </c>
      <c r="L963" s="11"/>
    </row>
    <row r="964" customFormat="false" ht="15" hidden="false" customHeight="false" outlineLevel="0" collapsed="false">
      <c r="A964" s="10"/>
      <c r="B964" s="11"/>
      <c r="C964" s="11"/>
      <c r="D964" s="11"/>
      <c r="E964" s="11"/>
      <c r="F964" s="11"/>
      <c r="G964" s="11"/>
      <c r="H964" s="15" t="str">
        <f aca="false">IF(OR(D964="",F964=""),"",IF(F964&lt;=1,D964,D964*(1+F964/30)))</f>
        <v/>
      </c>
      <c r="I964" s="15" t="str">
        <f aca="false">IF(OR(D964="",F964="",G964=""),"",IF(F964+MAX(0,10-G964)&lt;=1,D964,D964*(1+(F964+MAX(0,10-G964))/30)))</f>
        <v/>
      </c>
      <c r="J964" s="16" t="str">
        <f aca="false">IF(A964="","",IF(AND(C964="yes",N(G964)&gt;=7),N(E964),0))</f>
        <v/>
      </c>
      <c r="K964" s="17" t="str">
        <f aca="false">IF(A964="","",A964-WEEKDAY(A964,3))</f>
        <v/>
      </c>
      <c r="L964" s="11"/>
    </row>
    <row r="965" customFormat="false" ht="15" hidden="false" customHeight="false" outlineLevel="0" collapsed="false">
      <c r="A965" s="10"/>
      <c r="B965" s="11"/>
      <c r="C965" s="11"/>
      <c r="D965" s="11"/>
      <c r="E965" s="11"/>
      <c r="F965" s="11"/>
      <c r="G965" s="11"/>
      <c r="H965" s="15" t="str">
        <f aca="false">IF(OR(D965="",F965=""),"",IF(F965&lt;=1,D965,D965*(1+F965/30)))</f>
        <v/>
      </c>
      <c r="I965" s="15" t="str">
        <f aca="false">IF(OR(D965="",F965="",G965=""),"",IF(F965+MAX(0,10-G965)&lt;=1,D965,D965*(1+(F965+MAX(0,10-G965))/30)))</f>
        <v/>
      </c>
      <c r="J965" s="16" t="str">
        <f aca="false">IF(A965="","",IF(AND(C965="yes",N(G965)&gt;=7),N(E965),0))</f>
        <v/>
      </c>
      <c r="K965" s="17" t="str">
        <f aca="false">IF(A965="","",A965-WEEKDAY(A965,3))</f>
        <v/>
      </c>
      <c r="L965" s="11"/>
    </row>
    <row r="966" customFormat="false" ht="15" hidden="false" customHeight="false" outlineLevel="0" collapsed="false">
      <c r="A966" s="10"/>
      <c r="B966" s="11"/>
      <c r="C966" s="11"/>
      <c r="D966" s="11"/>
      <c r="E966" s="11"/>
      <c r="F966" s="11"/>
      <c r="G966" s="11"/>
      <c r="H966" s="15" t="str">
        <f aca="false">IF(OR(D966="",F966=""),"",IF(F966&lt;=1,D966,D966*(1+F966/30)))</f>
        <v/>
      </c>
      <c r="I966" s="15" t="str">
        <f aca="false">IF(OR(D966="",F966="",G966=""),"",IF(F966+MAX(0,10-G966)&lt;=1,D966,D966*(1+(F966+MAX(0,10-G966))/30)))</f>
        <v/>
      </c>
      <c r="J966" s="16" t="str">
        <f aca="false">IF(A966="","",IF(AND(C966="yes",N(G966)&gt;=7),N(E966),0))</f>
        <v/>
      </c>
      <c r="K966" s="17" t="str">
        <f aca="false">IF(A966="","",A966-WEEKDAY(A966,3))</f>
        <v/>
      </c>
      <c r="L966" s="11"/>
    </row>
    <row r="967" customFormat="false" ht="15" hidden="false" customHeight="false" outlineLevel="0" collapsed="false">
      <c r="A967" s="10"/>
      <c r="B967" s="11"/>
      <c r="C967" s="11"/>
      <c r="D967" s="11"/>
      <c r="E967" s="11"/>
      <c r="F967" s="11"/>
      <c r="G967" s="11"/>
      <c r="H967" s="15" t="str">
        <f aca="false">IF(OR(D967="",F967=""),"",IF(F967&lt;=1,D967,D967*(1+F967/30)))</f>
        <v/>
      </c>
      <c r="I967" s="15" t="str">
        <f aca="false">IF(OR(D967="",F967="",G967=""),"",IF(F967+MAX(0,10-G967)&lt;=1,D967,D967*(1+(F967+MAX(0,10-G967))/30)))</f>
        <v/>
      </c>
      <c r="J967" s="16" t="str">
        <f aca="false">IF(A967="","",IF(AND(C967="yes",N(G967)&gt;=7),N(E967),0))</f>
        <v/>
      </c>
      <c r="K967" s="17" t="str">
        <f aca="false">IF(A967="","",A967-WEEKDAY(A967,3))</f>
        <v/>
      </c>
      <c r="L967" s="11"/>
    </row>
    <row r="968" customFormat="false" ht="15" hidden="false" customHeight="false" outlineLevel="0" collapsed="false">
      <c r="A968" s="10"/>
      <c r="B968" s="11"/>
      <c r="C968" s="11"/>
      <c r="D968" s="11"/>
      <c r="E968" s="11"/>
      <c r="F968" s="11"/>
      <c r="G968" s="11"/>
      <c r="H968" s="15" t="str">
        <f aca="false">IF(OR(D968="",F968=""),"",IF(F968&lt;=1,D968,D968*(1+F968/30)))</f>
        <v/>
      </c>
      <c r="I968" s="15" t="str">
        <f aca="false">IF(OR(D968="",F968="",G968=""),"",IF(F968+MAX(0,10-G968)&lt;=1,D968,D968*(1+(F968+MAX(0,10-G968))/30)))</f>
        <v/>
      </c>
      <c r="J968" s="16" t="str">
        <f aca="false">IF(A968="","",IF(AND(C968="yes",N(G968)&gt;=7),N(E968),0))</f>
        <v/>
      </c>
      <c r="K968" s="17" t="str">
        <f aca="false">IF(A968="","",A968-WEEKDAY(A968,3))</f>
        <v/>
      </c>
      <c r="L968" s="11"/>
    </row>
    <row r="969" customFormat="false" ht="15" hidden="false" customHeight="false" outlineLevel="0" collapsed="false">
      <c r="A969" s="10"/>
      <c r="B969" s="11"/>
      <c r="C969" s="11"/>
      <c r="D969" s="11"/>
      <c r="E969" s="11"/>
      <c r="F969" s="11"/>
      <c r="G969" s="11"/>
      <c r="H969" s="15" t="str">
        <f aca="false">IF(OR(D969="",F969=""),"",IF(F969&lt;=1,D969,D969*(1+F969/30)))</f>
        <v/>
      </c>
      <c r="I969" s="15" t="str">
        <f aca="false">IF(OR(D969="",F969="",G969=""),"",IF(F969+MAX(0,10-G969)&lt;=1,D969,D969*(1+(F969+MAX(0,10-G969))/30)))</f>
        <v/>
      </c>
      <c r="J969" s="16" t="str">
        <f aca="false">IF(A969="","",IF(AND(C969="yes",N(G969)&gt;=7),N(E969),0))</f>
        <v/>
      </c>
      <c r="K969" s="17" t="str">
        <f aca="false">IF(A969="","",A969-WEEKDAY(A969,3))</f>
        <v/>
      </c>
      <c r="L969" s="11"/>
    </row>
    <row r="970" customFormat="false" ht="15" hidden="false" customHeight="false" outlineLevel="0" collapsed="false">
      <c r="A970" s="10"/>
      <c r="B970" s="11"/>
      <c r="C970" s="11"/>
      <c r="D970" s="11"/>
      <c r="E970" s="11"/>
      <c r="F970" s="11"/>
      <c r="G970" s="11"/>
      <c r="H970" s="15" t="str">
        <f aca="false">IF(OR(D970="",F970=""),"",IF(F970&lt;=1,D970,D970*(1+F970/30)))</f>
        <v/>
      </c>
      <c r="I970" s="15" t="str">
        <f aca="false">IF(OR(D970="",F970="",G970=""),"",IF(F970+MAX(0,10-G970)&lt;=1,D970,D970*(1+(F970+MAX(0,10-G970))/30)))</f>
        <v/>
      </c>
      <c r="J970" s="16" t="str">
        <f aca="false">IF(A970="","",IF(AND(C970="yes",N(G970)&gt;=7),N(E970),0))</f>
        <v/>
      </c>
      <c r="K970" s="17" t="str">
        <f aca="false">IF(A970="","",A970-WEEKDAY(A970,3))</f>
        <v/>
      </c>
      <c r="L970" s="11"/>
    </row>
    <row r="971" customFormat="false" ht="15" hidden="false" customHeight="false" outlineLevel="0" collapsed="false">
      <c r="A971" s="10"/>
      <c r="B971" s="11"/>
      <c r="C971" s="11"/>
      <c r="D971" s="11"/>
      <c r="E971" s="11"/>
      <c r="F971" s="11"/>
      <c r="G971" s="11"/>
      <c r="H971" s="15" t="str">
        <f aca="false">IF(OR(D971="",F971=""),"",IF(F971&lt;=1,D971,D971*(1+F971/30)))</f>
        <v/>
      </c>
      <c r="I971" s="15" t="str">
        <f aca="false">IF(OR(D971="",F971="",G971=""),"",IF(F971+MAX(0,10-G971)&lt;=1,D971,D971*(1+(F971+MAX(0,10-G971))/30)))</f>
        <v/>
      </c>
      <c r="J971" s="16" t="str">
        <f aca="false">IF(A971="","",IF(AND(C971="yes",N(G971)&gt;=7),N(E971),0))</f>
        <v/>
      </c>
      <c r="K971" s="17" t="str">
        <f aca="false">IF(A971="","",A971-WEEKDAY(A971,3))</f>
        <v/>
      </c>
      <c r="L971" s="11"/>
    </row>
    <row r="972" customFormat="false" ht="15" hidden="false" customHeight="false" outlineLevel="0" collapsed="false">
      <c r="A972" s="10"/>
      <c r="B972" s="11"/>
      <c r="C972" s="11"/>
      <c r="D972" s="11"/>
      <c r="E972" s="11"/>
      <c r="F972" s="11"/>
      <c r="G972" s="11"/>
      <c r="H972" s="15" t="str">
        <f aca="false">IF(OR(D972="",F972=""),"",IF(F972&lt;=1,D972,D972*(1+F972/30)))</f>
        <v/>
      </c>
      <c r="I972" s="15" t="str">
        <f aca="false">IF(OR(D972="",F972="",G972=""),"",IF(F972+MAX(0,10-G972)&lt;=1,D972,D972*(1+(F972+MAX(0,10-G972))/30)))</f>
        <v/>
      </c>
      <c r="J972" s="16" t="str">
        <f aca="false">IF(A972="","",IF(AND(C972="yes",N(G972)&gt;=7),N(E972),0))</f>
        <v/>
      </c>
      <c r="K972" s="17" t="str">
        <f aca="false">IF(A972="","",A972-WEEKDAY(A972,3))</f>
        <v/>
      </c>
      <c r="L972" s="11"/>
    </row>
    <row r="973" customFormat="false" ht="15" hidden="false" customHeight="false" outlineLevel="0" collapsed="false">
      <c r="A973" s="10"/>
      <c r="B973" s="11"/>
      <c r="C973" s="11"/>
      <c r="D973" s="11"/>
      <c r="E973" s="11"/>
      <c r="F973" s="11"/>
      <c r="G973" s="11"/>
      <c r="H973" s="15" t="str">
        <f aca="false">IF(OR(D973="",F973=""),"",IF(F973&lt;=1,D973,D973*(1+F973/30)))</f>
        <v/>
      </c>
      <c r="I973" s="15" t="str">
        <f aca="false">IF(OR(D973="",F973="",G973=""),"",IF(F973+MAX(0,10-G973)&lt;=1,D973,D973*(1+(F973+MAX(0,10-G973))/30)))</f>
        <v/>
      </c>
      <c r="J973" s="16" t="str">
        <f aca="false">IF(A973="","",IF(AND(C973="yes",N(G973)&gt;=7),N(E973),0))</f>
        <v/>
      </c>
      <c r="K973" s="17" t="str">
        <f aca="false">IF(A973="","",A973-WEEKDAY(A973,3))</f>
        <v/>
      </c>
      <c r="L973" s="11"/>
    </row>
    <row r="974" customFormat="false" ht="15" hidden="false" customHeight="false" outlineLevel="0" collapsed="false">
      <c r="A974" s="10"/>
      <c r="B974" s="11"/>
      <c r="C974" s="11"/>
      <c r="D974" s="11"/>
      <c r="E974" s="11"/>
      <c r="F974" s="11"/>
      <c r="G974" s="11"/>
      <c r="H974" s="15" t="str">
        <f aca="false">IF(OR(D974="",F974=""),"",IF(F974&lt;=1,D974,D974*(1+F974/30)))</f>
        <v/>
      </c>
      <c r="I974" s="15" t="str">
        <f aca="false">IF(OR(D974="",F974="",G974=""),"",IF(F974+MAX(0,10-G974)&lt;=1,D974,D974*(1+(F974+MAX(0,10-G974))/30)))</f>
        <v/>
      </c>
      <c r="J974" s="16" t="str">
        <f aca="false">IF(A974="","",IF(AND(C974="yes",N(G974)&gt;=7),N(E974),0))</f>
        <v/>
      </c>
      <c r="K974" s="17" t="str">
        <f aca="false">IF(A974="","",A974-WEEKDAY(A974,3))</f>
        <v/>
      </c>
      <c r="L974" s="11"/>
    </row>
    <row r="975" customFormat="false" ht="15" hidden="false" customHeight="false" outlineLevel="0" collapsed="false">
      <c r="A975" s="10"/>
      <c r="B975" s="11"/>
      <c r="C975" s="11"/>
      <c r="D975" s="11"/>
      <c r="E975" s="11"/>
      <c r="F975" s="11"/>
      <c r="G975" s="11"/>
      <c r="H975" s="15" t="str">
        <f aca="false">IF(OR(D975="",F975=""),"",IF(F975&lt;=1,D975,D975*(1+F975/30)))</f>
        <v/>
      </c>
      <c r="I975" s="15" t="str">
        <f aca="false">IF(OR(D975="",F975="",G975=""),"",IF(F975+MAX(0,10-G975)&lt;=1,D975,D975*(1+(F975+MAX(0,10-G975))/30)))</f>
        <v/>
      </c>
      <c r="J975" s="16" t="str">
        <f aca="false">IF(A975="","",IF(AND(C975="yes",N(G975)&gt;=7),N(E975),0))</f>
        <v/>
      </c>
      <c r="K975" s="17" t="str">
        <f aca="false">IF(A975="","",A975-WEEKDAY(A975,3))</f>
        <v/>
      </c>
      <c r="L975" s="11"/>
    </row>
    <row r="976" customFormat="false" ht="15" hidden="false" customHeight="false" outlineLevel="0" collapsed="false">
      <c r="A976" s="10"/>
      <c r="B976" s="11"/>
      <c r="C976" s="11"/>
      <c r="D976" s="11"/>
      <c r="E976" s="11"/>
      <c r="F976" s="11"/>
      <c r="G976" s="11"/>
      <c r="H976" s="15" t="str">
        <f aca="false">IF(OR(D976="",F976=""),"",IF(F976&lt;=1,D976,D976*(1+F976/30)))</f>
        <v/>
      </c>
      <c r="I976" s="15" t="str">
        <f aca="false">IF(OR(D976="",F976="",G976=""),"",IF(F976+MAX(0,10-G976)&lt;=1,D976,D976*(1+(F976+MAX(0,10-G976))/30)))</f>
        <v/>
      </c>
      <c r="J976" s="16" t="str">
        <f aca="false">IF(A976="","",IF(AND(C976="yes",N(G976)&gt;=7),N(E976),0))</f>
        <v/>
      </c>
      <c r="K976" s="17" t="str">
        <f aca="false">IF(A976="","",A976-WEEKDAY(A976,3))</f>
        <v/>
      </c>
      <c r="L976" s="11"/>
    </row>
    <row r="977" customFormat="false" ht="15" hidden="false" customHeight="false" outlineLevel="0" collapsed="false">
      <c r="A977" s="10"/>
      <c r="B977" s="11"/>
      <c r="C977" s="11"/>
      <c r="D977" s="11"/>
      <c r="E977" s="11"/>
      <c r="F977" s="11"/>
      <c r="G977" s="11"/>
      <c r="H977" s="15" t="str">
        <f aca="false">IF(OR(D977="",F977=""),"",IF(F977&lt;=1,D977,D977*(1+F977/30)))</f>
        <v/>
      </c>
      <c r="I977" s="15" t="str">
        <f aca="false">IF(OR(D977="",F977="",G977=""),"",IF(F977+MAX(0,10-G977)&lt;=1,D977,D977*(1+(F977+MAX(0,10-G977))/30)))</f>
        <v/>
      </c>
      <c r="J977" s="16" t="str">
        <f aca="false">IF(A977="","",IF(AND(C977="yes",N(G977)&gt;=7),N(E977),0))</f>
        <v/>
      </c>
      <c r="K977" s="17" t="str">
        <f aca="false">IF(A977="","",A977-WEEKDAY(A977,3))</f>
        <v/>
      </c>
      <c r="L977" s="11"/>
    </row>
    <row r="978" customFormat="false" ht="15" hidden="false" customHeight="false" outlineLevel="0" collapsed="false">
      <c r="A978" s="10"/>
      <c r="B978" s="11"/>
      <c r="C978" s="11"/>
      <c r="D978" s="11"/>
      <c r="E978" s="11"/>
      <c r="F978" s="11"/>
      <c r="G978" s="11"/>
      <c r="H978" s="15" t="str">
        <f aca="false">IF(OR(D978="",F978=""),"",IF(F978&lt;=1,D978,D978*(1+F978/30)))</f>
        <v/>
      </c>
      <c r="I978" s="15" t="str">
        <f aca="false">IF(OR(D978="",F978="",G978=""),"",IF(F978+MAX(0,10-G978)&lt;=1,D978,D978*(1+(F978+MAX(0,10-G978))/30)))</f>
        <v/>
      </c>
      <c r="J978" s="16" t="str">
        <f aca="false">IF(A978="","",IF(AND(C978="yes",N(G978)&gt;=7),N(E978),0))</f>
        <v/>
      </c>
      <c r="K978" s="17" t="str">
        <f aca="false">IF(A978="","",A978-WEEKDAY(A978,3))</f>
        <v/>
      </c>
      <c r="L978" s="11"/>
    </row>
    <row r="979" customFormat="false" ht="15" hidden="false" customHeight="false" outlineLevel="0" collapsed="false">
      <c r="A979" s="10"/>
      <c r="B979" s="11"/>
      <c r="C979" s="11"/>
      <c r="D979" s="11"/>
      <c r="E979" s="11"/>
      <c r="F979" s="11"/>
      <c r="G979" s="11"/>
      <c r="H979" s="15" t="str">
        <f aca="false">IF(OR(D979="",F979=""),"",IF(F979&lt;=1,D979,D979*(1+F979/30)))</f>
        <v/>
      </c>
      <c r="I979" s="15" t="str">
        <f aca="false">IF(OR(D979="",F979="",G979=""),"",IF(F979+MAX(0,10-G979)&lt;=1,D979,D979*(1+(F979+MAX(0,10-G979))/30)))</f>
        <v/>
      </c>
      <c r="J979" s="16" t="str">
        <f aca="false">IF(A979="","",IF(AND(C979="yes",N(G979)&gt;=7),N(E979),0))</f>
        <v/>
      </c>
      <c r="K979" s="17" t="str">
        <f aca="false">IF(A979="","",A979-WEEKDAY(A979,3))</f>
        <v/>
      </c>
      <c r="L979" s="11"/>
    </row>
    <row r="980" customFormat="false" ht="15" hidden="false" customHeight="false" outlineLevel="0" collapsed="false">
      <c r="A980" s="10"/>
      <c r="B980" s="11"/>
      <c r="C980" s="11"/>
      <c r="D980" s="11"/>
      <c r="E980" s="11"/>
      <c r="F980" s="11"/>
      <c r="G980" s="11"/>
      <c r="H980" s="15" t="str">
        <f aca="false">IF(OR(D980="",F980=""),"",IF(F980&lt;=1,D980,D980*(1+F980/30)))</f>
        <v/>
      </c>
      <c r="I980" s="15" t="str">
        <f aca="false">IF(OR(D980="",F980="",G980=""),"",IF(F980+MAX(0,10-G980)&lt;=1,D980,D980*(1+(F980+MAX(0,10-G980))/30)))</f>
        <v/>
      </c>
      <c r="J980" s="16" t="str">
        <f aca="false">IF(A980="","",IF(AND(C980="yes",N(G980)&gt;=7),N(E980),0))</f>
        <v/>
      </c>
      <c r="K980" s="17" t="str">
        <f aca="false">IF(A980="","",A980-WEEKDAY(A980,3))</f>
        <v/>
      </c>
      <c r="L980" s="11"/>
    </row>
    <row r="981" customFormat="false" ht="15" hidden="false" customHeight="false" outlineLevel="0" collapsed="false">
      <c r="A981" s="10"/>
      <c r="B981" s="11"/>
      <c r="C981" s="11"/>
      <c r="D981" s="11"/>
      <c r="E981" s="11"/>
      <c r="F981" s="11"/>
      <c r="G981" s="11"/>
      <c r="H981" s="15" t="str">
        <f aca="false">IF(OR(D981="",F981=""),"",IF(F981&lt;=1,D981,D981*(1+F981/30)))</f>
        <v/>
      </c>
      <c r="I981" s="15" t="str">
        <f aca="false">IF(OR(D981="",F981="",G981=""),"",IF(F981+MAX(0,10-G981)&lt;=1,D981,D981*(1+(F981+MAX(0,10-G981))/30)))</f>
        <v/>
      </c>
      <c r="J981" s="16" t="str">
        <f aca="false">IF(A981="","",IF(AND(C981="yes",N(G981)&gt;=7),N(E981),0))</f>
        <v/>
      </c>
      <c r="K981" s="17" t="str">
        <f aca="false">IF(A981="","",A981-WEEKDAY(A981,3))</f>
        <v/>
      </c>
      <c r="L981" s="11"/>
    </row>
    <row r="982" customFormat="false" ht="15" hidden="false" customHeight="false" outlineLevel="0" collapsed="false">
      <c r="A982" s="10"/>
      <c r="B982" s="11"/>
      <c r="C982" s="11"/>
      <c r="D982" s="11"/>
      <c r="E982" s="11"/>
      <c r="F982" s="11"/>
      <c r="G982" s="11"/>
      <c r="H982" s="15" t="str">
        <f aca="false">IF(OR(D982="",F982=""),"",IF(F982&lt;=1,D982,D982*(1+F982/30)))</f>
        <v/>
      </c>
      <c r="I982" s="15" t="str">
        <f aca="false">IF(OR(D982="",F982="",G982=""),"",IF(F982+MAX(0,10-G982)&lt;=1,D982,D982*(1+(F982+MAX(0,10-G982))/30)))</f>
        <v/>
      </c>
      <c r="J982" s="16" t="str">
        <f aca="false">IF(A982="","",IF(AND(C982="yes",N(G982)&gt;=7),N(E982),0))</f>
        <v/>
      </c>
      <c r="K982" s="17" t="str">
        <f aca="false">IF(A982="","",A982-WEEKDAY(A982,3))</f>
        <v/>
      </c>
      <c r="L982" s="11"/>
    </row>
    <row r="983" customFormat="false" ht="15" hidden="false" customHeight="false" outlineLevel="0" collapsed="false">
      <c r="A983" s="10"/>
      <c r="B983" s="11"/>
      <c r="C983" s="11"/>
      <c r="D983" s="11"/>
      <c r="E983" s="11"/>
      <c r="F983" s="11"/>
      <c r="G983" s="11"/>
      <c r="H983" s="15" t="str">
        <f aca="false">IF(OR(D983="",F983=""),"",IF(F983&lt;=1,D983,D983*(1+F983/30)))</f>
        <v/>
      </c>
      <c r="I983" s="15" t="str">
        <f aca="false">IF(OR(D983="",F983="",G983=""),"",IF(F983+MAX(0,10-G983)&lt;=1,D983,D983*(1+(F983+MAX(0,10-G983))/30)))</f>
        <v/>
      </c>
      <c r="J983" s="16" t="str">
        <f aca="false">IF(A983="","",IF(AND(C983="yes",N(G983)&gt;=7),N(E983),0))</f>
        <v/>
      </c>
      <c r="K983" s="17" t="str">
        <f aca="false">IF(A983="","",A983-WEEKDAY(A983,3))</f>
        <v/>
      </c>
      <c r="L983" s="11"/>
    </row>
    <row r="984" customFormat="false" ht="15" hidden="false" customHeight="false" outlineLevel="0" collapsed="false">
      <c r="A984" s="10"/>
      <c r="B984" s="11"/>
      <c r="C984" s="11"/>
      <c r="D984" s="11"/>
      <c r="E984" s="11"/>
      <c r="F984" s="11"/>
      <c r="G984" s="11"/>
      <c r="H984" s="15" t="str">
        <f aca="false">IF(OR(D984="",F984=""),"",IF(F984&lt;=1,D984,D984*(1+F984/30)))</f>
        <v/>
      </c>
      <c r="I984" s="15" t="str">
        <f aca="false">IF(OR(D984="",F984="",G984=""),"",IF(F984+MAX(0,10-G984)&lt;=1,D984,D984*(1+(F984+MAX(0,10-G984))/30)))</f>
        <v/>
      </c>
      <c r="J984" s="16" t="str">
        <f aca="false">IF(A984="","",IF(AND(C984="yes",N(G984)&gt;=7),N(E984),0))</f>
        <v/>
      </c>
      <c r="K984" s="17" t="str">
        <f aca="false">IF(A984="","",A984-WEEKDAY(A984,3))</f>
        <v/>
      </c>
      <c r="L984" s="11"/>
    </row>
    <row r="985" customFormat="false" ht="15" hidden="false" customHeight="false" outlineLevel="0" collapsed="false">
      <c r="A985" s="10"/>
      <c r="B985" s="11"/>
      <c r="C985" s="11"/>
      <c r="D985" s="11"/>
      <c r="E985" s="11"/>
      <c r="F985" s="11"/>
      <c r="G985" s="11"/>
      <c r="H985" s="15" t="str">
        <f aca="false">IF(OR(D985="",F985=""),"",IF(F985&lt;=1,D985,D985*(1+F985/30)))</f>
        <v/>
      </c>
      <c r="I985" s="15" t="str">
        <f aca="false">IF(OR(D985="",F985="",G985=""),"",IF(F985+MAX(0,10-G985)&lt;=1,D985,D985*(1+(F985+MAX(0,10-G985))/30)))</f>
        <v/>
      </c>
      <c r="J985" s="16" t="str">
        <f aca="false">IF(A985="","",IF(AND(C985="yes",N(G985)&gt;=7),N(E985),0))</f>
        <v/>
      </c>
      <c r="K985" s="17" t="str">
        <f aca="false">IF(A985="","",A985-WEEKDAY(A985,3))</f>
        <v/>
      </c>
      <c r="L985" s="11"/>
    </row>
    <row r="986" customFormat="false" ht="15" hidden="false" customHeight="false" outlineLevel="0" collapsed="false">
      <c r="A986" s="10"/>
      <c r="B986" s="11"/>
      <c r="C986" s="11"/>
      <c r="D986" s="11"/>
      <c r="E986" s="11"/>
      <c r="F986" s="11"/>
      <c r="G986" s="11"/>
      <c r="H986" s="15" t="str">
        <f aca="false">IF(OR(D986="",F986=""),"",IF(F986&lt;=1,D986,D986*(1+F986/30)))</f>
        <v/>
      </c>
      <c r="I986" s="15" t="str">
        <f aca="false">IF(OR(D986="",F986="",G986=""),"",IF(F986+MAX(0,10-G986)&lt;=1,D986,D986*(1+(F986+MAX(0,10-G986))/30)))</f>
        <v/>
      </c>
      <c r="J986" s="16" t="str">
        <f aca="false">IF(A986="","",IF(AND(C986="yes",N(G986)&gt;=7),N(E986),0))</f>
        <v/>
      </c>
      <c r="K986" s="17" t="str">
        <f aca="false">IF(A986="","",A986-WEEKDAY(A986,3))</f>
        <v/>
      </c>
      <c r="L986" s="11"/>
    </row>
    <row r="987" customFormat="false" ht="15" hidden="false" customHeight="false" outlineLevel="0" collapsed="false">
      <c r="A987" s="10"/>
      <c r="B987" s="11"/>
      <c r="C987" s="11"/>
      <c r="D987" s="11"/>
      <c r="E987" s="11"/>
      <c r="F987" s="11"/>
      <c r="G987" s="11"/>
      <c r="H987" s="15" t="str">
        <f aca="false">IF(OR(D987="",F987=""),"",IF(F987&lt;=1,D987,D987*(1+F987/30)))</f>
        <v/>
      </c>
      <c r="I987" s="15" t="str">
        <f aca="false">IF(OR(D987="",F987="",G987=""),"",IF(F987+MAX(0,10-G987)&lt;=1,D987,D987*(1+(F987+MAX(0,10-G987))/30)))</f>
        <v/>
      </c>
      <c r="J987" s="16" t="str">
        <f aca="false">IF(A987="","",IF(AND(C987="yes",N(G987)&gt;=7),N(E987),0))</f>
        <v/>
      </c>
      <c r="K987" s="17" t="str">
        <f aca="false">IF(A987="","",A987-WEEKDAY(A987,3))</f>
        <v/>
      </c>
      <c r="L987" s="11"/>
    </row>
    <row r="988" customFormat="false" ht="15" hidden="false" customHeight="false" outlineLevel="0" collapsed="false">
      <c r="A988" s="10"/>
      <c r="B988" s="11"/>
      <c r="C988" s="11"/>
      <c r="D988" s="11"/>
      <c r="E988" s="11"/>
      <c r="F988" s="11"/>
      <c r="G988" s="11"/>
      <c r="H988" s="15" t="str">
        <f aca="false">IF(OR(D988="",F988=""),"",IF(F988&lt;=1,D988,D988*(1+F988/30)))</f>
        <v/>
      </c>
      <c r="I988" s="15" t="str">
        <f aca="false">IF(OR(D988="",F988="",G988=""),"",IF(F988+MAX(0,10-G988)&lt;=1,D988,D988*(1+(F988+MAX(0,10-G988))/30)))</f>
        <v/>
      </c>
      <c r="J988" s="16" t="str">
        <f aca="false">IF(A988="","",IF(AND(C988="yes",N(G988)&gt;=7),N(E988),0))</f>
        <v/>
      </c>
      <c r="K988" s="17" t="str">
        <f aca="false">IF(A988="","",A988-WEEKDAY(A988,3))</f>
        <v/>
      </c>
      <c r="L988" s="11"/>
    </row>
    <row r="989" customFormat="false" ht="15" hidden="false" customHeight="false" outlineLevel="0" collapsed="false">
      <c r="A989" s="10"/>
      <c r="B989" s="11"/>
      <c r="C989" s="11"/>
      <c r="D989" s="11"/>
      <c r="E989" s="11"/>
      <c r="F989" s="11"/>
      <c r="G989" s="11"/>
      <c r="H989" s="15" t="str">
        <f aca="false">IF(OR(D989="",F989=""),"",IF(F989&lt;=1,D989,D989*(1+F989/30)))</f>
        <v/>
      </c>
      <c r="I989" s="15" t="str">
        <f aca="false">IF(OR(D989="",F989="",G989=""),"",IF(F989+MAX(0,10-G989)&lt;=1,D989,D989*(1+(F989+MAX(0,10-G989))/30)))</f>
        <v/>
      </c>
      <c r="J989" s="16" t="str">
        <f aca="false">IF(A989="","",IF(AND(C989="yes",N(G989)&gt;=7),N(E989),0))</f>
        <v/>
      </c>
      <c r="K989" s="17" t="str">
        <f aca="false">IF(A989="","",A989-WEEKDAY(A989,3))</f>
        <v/>
      </c>
      <c r="L989" s="11"/>
    </row>
    <row r="990" customFormat="false" ht="15" hidden="false" customHeight="false" outlineLevel="0" collapsed="false">
      <c r="A990" s="10"/>
      <c r="B990" s="11"/>
      <c r="C990" s="11"/>
      <c r="D990" s="11"/>
      <c r="E990" s="11"/>
      <c r="F990" s="11"/>
      <c r="G990" s="11"/>
      <c r="H990" s="15" t="str">
        <f aca="false">IF(OR(D990="",F990=""),"",IF(F990&lt;=1,D990,D990*(1+F990/30)))</f>
        <v/>
      </c>
      <c r="I990" s="15" t="str">
        <f aca="false">IF(OR(D990="",F990="",G990=""),"",IF(F990+MAX(0,10-G990)&lt;=1,D990,D990*(1+(F990+MAX(0,10-G990))/30)))</f>
        <v/>
      </c>
      <c r="J990" s="16" t="str">
        <f aca="false">IF(A990="","",IF(AND(C990="yes",N(G990)&gt;=7),N(E990),0))</f>
        <v/>
      </c>
      <c r="K990" s="17" t="str">
        <f aca="false">IF(A990="","",A990-WEEKDAY(A990,3))</f>
        <v/>
      </c>
      <c r="L990" s="11"/>
    </row>
    <row r="991" customFormat="false" ht="15" hidden="false" customHeight="false" outlineLevel="0" collapsed="false">
      <c r="A991" s="10"/>
      <c r="B991" s="11"/>
      <c r="C991" s="11"/>
      <c r="D991" s="11"/>
      <c r="E991" s="11"/>
      <c r="F991" s="11"/>
      <c r="G991" s="11"/>
      <c r="H991" s="15" t="str">
        <f aca="false">IF(OR(D991="",F991=""),"",IF(F991&lt;=1,D991,D991*(1+F991/30)))</f>
        <v/>
      </c>
      <c r="I991" s="15" t="str">
        <f aca="false">IF(OR(D991="",F991="",G991=""),"",IF(F991+MAX(0,10-G991)&lt;=1,D991,D991*(1+(F991+MAX(0,10-G991))/30)))</f>
        <v/>
      </c>
      <c r="J991" s="16" t="str">
        <f aca="false">IF(A991="","",IF(AND(C991="yes",N(G991)&gt;=7),N(E991),0))</f>
        <v/>
      </c>
      <c r="K991" s="17" t="str">
        <f aca="false">IF(A991="","",A991-WEEKDAY(A991,3))</f>
        <v/>
      </c>
      <c r="L991" s="11"/>
    </row>
    <row r="992" customFormat="false" ht="15" hidden="false" customHeight="false" outlineLevel="0" collapsed="false">
      <c r="A992" s="10"/>
      <c r="B992" s="11"/>
      <c r="C992" s="11"/>
      <c r="D992" s="11"/>
      <c r="E992" s="11"/>
      <c r="F992" s="11"/>
      <c r="G992" s="11"/>
      <c r="H992" s="15" t="str">
        <f aca="false">IF(OR(D992="",F992=""),"",IF(F992&lt;=1,D992,D992*(1+F992/30)))</f>
        <v/>
      </c>
      <c r="I992" s="15" t="str">
        <f aca="false">IF(OR(D992="",F992="",G992=""),"",IF(F992+MAX(0,10-G992)&lt;=1,D992,D992*(1+(F992+MAX(0,10-G992))/30)))</f>
        <v/>
      </c>
      <c r="J992" s="16" t="str">
        <f aca="false">IF(A992="","",IF(AND(C992="yes",N(G992)&gt;=7),N(E992),0))</f>
        <v/>
      </c>
      <c r="K992" s="17" t="str">
        <f aca="false">IF(A992="","",A992-WEEKDAY(A992,3))</f>
        <v/>
      </c>
      <c r="L992" s="11"/>
    </row>
    <row r="993" customFormat="false" ht="15" hidden="false" customHeight="false" outlineLevel="0" collapsed="false">
      <c r="A993" s="10"/>
      <c r="B993" s="11"/>
      <c r="C993" s="11"/>
      <c r="D993" s="11"/>
      <c r="E993" s="11"/>
      <c r="F993" s="11"/>
      <c r="G993" s="11"/>
      <c r="H993" s="15" t="str">
        <f aca="false">IF(OR(D993="",F993=""),"",IF(F993&lt;=1,D993,D993*(1+F993/30)))</f>
        <v/>
      </c>
      <c r="I993" s="15" t="str">
        <f aca="false">IF(OR(D993="",F993="",G993=""),"",IF(F993+MAX(0,10-G993)&lt;=1,D993,D993*(1+(F993+MAX(0,10-G993))/30)))</f>
        <v/>
      </c>
      <c r="J993" s="16" t="str">
        <f aca="false">IF(A993="","",IF(AND(C993="yes",N(G993)&gt;=7),N(E993),0))</f>
        <v/>
      </c>
      <c r="K993" s="17" t="str">
        <f aca="false">IF(A993="","",A993-WEEKDAY(A993,3))</f>
        <v/>
      </c>
      <c r="L993" s="11"/>
    </row>
    <row r="994" customFormat="false" ht="15" hidden="false" customHeight="false" outlineLevel="0" collapsed="false">
      <c r="A994" s="10"/>
      <c r="B994" s="11"/>
      <c r="C994" s="11"/>
      <c r="D994" s="11"/>
      <c r="E994" s="11"/>
      <c r="F994" s="11"/>
      <c r="G994" s="11"/>
      <c r="H994" s="15" t="str">
        <f aca="false">IF(OR(D994="",F994=""),"",IF(F994&lt;=1,D994,D994*(1+F994/30)))</f>
        <v/>
      </c>
      <c r="I994" s="15" t="str">
        <f aca="false">IF(OR(D994="",F994="",G994=""),"",IF(F994+MAX(0,10-G994)&lt;=1,D994,D994*(1+(F994+MAX(0,10-G994))/30)))</f>
        <v/>
      </c>
      <c r="J994" s="16" t="str">
        <f aca="false">IF(A994="","",IF(AND(C994="yes",N(G994)&gt;=7),N(E994),0))</f>
        <v/>
      </c>
      <c r="K994" s="17" t="str">
        <f aca="false">IF(A994="","",A994-WEEKDAY(A994,3))</f>
        <v/>
      </c>
      <c r="L994" s="11"/>
    </row>
    <row r="995" customFormat="false" ht="15" hidden="false" customHeight="false" outlineLevel="0" collapsed="false">
      <c r="A995" s="10"/>
      <c r="B995" s="11"/>
      <c r="C995" s="11"/>
      <c r="D995" s="11"/>
      <c r="E995" s="11"/>
      <c r="F995" s="11"/>
      <c r="G995" s="11"/>
      <c r="H995" s="15" t="str">
        <f aca="false">IF(OR(D995="",F995=""),"",IF(F995&lt;=1,D995,D995*(1+F995/30)))</f>
        <v/>
      </c>
      <c r="I995" s="15" t="str">
        <f aca="false">IF(OR(D995="",F995="",G995=""),"",IF(F995+MAX(0,10-G995)&lt;=1,D995,D995*(1+(F995+MAX(0,10-G995))/30)))</f>
        <v/>
      </c>
      <c r="J995" s="16" t="str">
        <f aca="false">IF(A995="","",IF(AND(C995="yes",N(G995)&gt;=7),N(E995),0))</f>
        <v/>
      </c>
      <c r="K995" s="17" t="str">
        <f aca="false">IF(A995="","",A995-WEEKDAY(A995,3))</f>
        <v/>
      </c>
      <c r="L995" s="11"/>
    </row>
    <row r="996" customFormat="false" ht="15" hidden="false" customHeight="false" outlineLevel="0" collapsed="false">
      <c r="A996" s="10"/>
      <c r="B996" s="11"/>
      <c r="C996" s="11"/>
      <c r="D996" s="11"/>
      <c r="E996" s="11"/>
      <c r="F996" s="11"/>
      <c r="G996" s="11"/>
      <c r="H996" s="15" t="str">
        <f aca="false">IF(OR(D996="",F996=""),"",IF(F996&lt;=1,D996,D996*(1+F996/30)))</f>
        <v/>
      </c>
      <c r="I996" s="15" t="str">
        <f aca="false">IF(OR(D996="",F996="",G996=""),"",IF(F996+MAX(0,10-G996)&lt;=1,D996,D996*(1+(F996+MAX(0,10-G996))/30)))</f>
        <v/>
      </c>
      <c r="J996" s="16" t="str">
        <f aca="false">IF(A996="","",IF(AND(C996="yes",N(G996)&gt;=7),N(E996),0))</f>
        <v/>
      </c>
      <c r="K996" s="17" t="str">
        <f aca="false">IF(A996="","",A996-WEEKDAY(A996,3))</f>
        <v/>
      </c>
      <c r="L996" s="11"/>
    </row>
    <row r="997" customFormat="false" ht="15" hidden="false" customHeight="false" outlineLevel="0" collapsed="false">
      <c r="A997" s="10"/>
      <c r="B997" s="11"/>
      <c r="C997" s="11"/>
      <c r="D997" s="11"/>
      <c r="E997" s="11"/>
      <c r="F997" s="11"/>
      <c r="G997" s="11"/>
      <c r="H997" s="15" t="str">
        <f aca="false">IF(OR(D997="",F997=""),"",IF(F997&lt;=1,D997,D997*(1+F997/30)))</f>
        <v/>
      </c>
      <c r="I997" s="15" t="str">
        <f aca="false">IF(OR(D997="",F997="",G997=""),"",IF(F997+MAX(0,10-G997)&lt;=1,D997,D997*(1+(F997+MAX(0,10-G997))/30)))</f>
        <v/>
      </c>
      <c r="J997" s="16" t="str">
        <f aca="false">IF(A997="","",IF(AND(C997="yes",N(G997)&gt;=7),N(E997),0))</f>
        <v/>
      </c>
      <c r="K997" s="17" t="str">
        <f aca="false">IF(A997="","",A997-WEEKDAY(A997,3))</f>
        <v/>
      </c>
      <c r="L997" s="11"/>
    </row>
    <row r="998" customFormat="false" ht="15" hidden="false" customHeight="false" outlineLevel="0" collapsed="false">
      <c r="A998" s="10"/>
      <c r="B998" s="11"/>
      <c r="C998" s="11"/>
      <c r="D998" s="11"/>
      <c r="E998" s="11"/>
      <c r="F998" s="11"/>
      <c r="G998" s="11"/>
      <c r="H998" s="15" t="str">
        <f aca="false">IF(OR(D998="",F998=""),"",IF(F998&lt;=1,D998,D998*(1+F998/30)))</f>
        <v/>
      </c>
      <c r="I998" s="15" t="str">
        <f aca="false">IF(OR(D998="",F998="",G998=""),"",IF(F998+MAX(0,10-G998)&lt;=1,D998,D998*(1+(F998+MAX(0,10-G998))/30)))</f>
        <v/>
      </c>
      <c r="J998" s="16" t="str">
        <f aca="false">IF(A998="","",IF(AND(C998="yes",N(G998)&gt;=7),N(E998),0))</f>
        <v/>
      </c>
      <c r="K998" s="17" t="str">
        <f aca="false">IF(A998="","",A998-WEEKDAY(A998,3))</f>
        <v/>
      </c>
      <c r="L998" s="11"/>
    </row>
    <row r="999" customFormat="false" ht="15" hidden="false" customHeight="false" outlineLevel="0" collapsed="false">
      <c r="A999" s="10"/>
      <c r="B999" s="11"/>
      <c r="C999" s="11"/>
      <c r="D999" s="11"/>
      <c r="E999" s="11"/>
      <c r="F999" s="11"/>
      <c r="G999" s="11"/>
      <c r="H999" s="15" t="str">
        <f aca="false">IF(OR(D999="",F999=""),"",IF(F999&lt;=1,D999,D999*(1+F999/30)))</f>
        <v/>
      </c>
      <c r="I999" s="15" t="str">
        <f aca="false">IF(OR(D999="",F999="",G999=""),"",IF(F999+MAX(0,10-G999)&lt;=1,D999,D999*(1+(F999+MAX(0,10-G999))/30)))</f>
        <v/>
      </c>
      <c r="J999" s="16" t="str">
        <f aca="false">IF(A999="","",IF(AND(C999="yes",N(G999)&gt;=7),N(E999),0))</f>
        <v/>
      </c>
      <c r="K999" s="17" t="str">
        <f aca="false">IF(A999="","",A999-WEEKDAY(A999,3))</f>
        <v/>
      </c>
      <c r="L999" s="11"/>
    </row>
    <row r="1000" customFormat="false" ht="15" hidden="false" customHeight="false" outlineLevel="0" collapsed="false">
      <c r="A1000" s="10"/>
      <c r="B1000" s="11"/>
      <c r="C1000" s="11"/>
      <c r="D1000" s="11"/>
      <c r="E1000" s="11"/>
      <c r="F1000" s="11"/>
      <c r="G1000" s="11"/>
      <c r="H1000" s="15" t="str">
        <f aca="false">IF(OR(D1000="",F1000=""),"",IF(F1000&lt;=1,D1000,D1000*(1+F1000/30)))</f>
        <v/>
      </c>
      <c r="I1000" s="15" t="str">
        <f aca="false">IF(OR(D1000="",F1000="",G1000=""),"",IF(F1000+MAX(0,10-G1000)&lt;=1,D1000,D1000*(1+(F1000+MAX(0,10-G1000))/30)))</f>
        <v/>
      </c>
      <c r="J1000" s="16" t="str">
        <f aca="false">IF(A1000="","",IF(AND(C1000="yes",N(G1000)&gt;=7),N(E1000),0))</f>
        <v/>
      </c>
      <c r="K1000" s="17" t="str">
        <f aca="false">IF(A1000="","",A1000-WEEKDAY(A1000,3))</f>
        <v/>
      </c>
      <c r="L1000" s="11"/>
    </row>
    <row r="1001" customFormat="false" ht="15" hidden="false" customHeight="false" outlineLevel="0" collapsed="false">
      <c r="A1001" s="10"/>
      <c r="B1001" s="11"/>
      <c r="C1001" s="11"/>
      <c r="D1001" s="11"/>
      <c r="E1001" s="11"/>
      <c r="F1001" s="11"/>
      <c r="G1001" s="11"/>
      <c r="H1001" s="15" t="str">
        <f aca="false">IF(OR(D1001="",F1001=""),"",IF(F1001&lt;=1,D1001,D1001*(1+F1001/30)))</f>
        <v/>
      </c>
      <c r="I1001" s="15" t="str">
        <f aca="false">IF(OR(D1001="",F1001="",G1001=""),"",IF(F1001+MAX(0,10-G1001)&lt;=1,D1001,D1001*(1+(F1001+MAX(0,10-G1001))/30)))</f>
        <v/>
      </c>
      <c r="J1001" s="16" t="str">
        <f aca="false">IF(A1001="","",IF(AND(C1001="yes",N(G1001)&gt;=7),N(E1001),0))</f>
        <v/>
      </c>
      <c r="K1001" s="17" t="str">
        <f aca="false">IF(A1001="","",A1001-WEEKDAY(A1001,3))</f>
        <v/>
      </c>
      <c r="L1001" s="11"/>
    </row>
    <row r="1002" customFormat="false" ht="15" hidden="false" customHeight="false" outlineLevel="0" collapsed="false">
      <c r="A1002" s="10"/>
      <c r="B1002" s="11"/>
      <c r="C1002" s="11"/>
      <c r="D1002" s="11"/>
      <c r="E1002" s="11"/>
      <c r="F1002" s="11"/>
      <c r="G1002" s="11"/>
      <c r="H1002" s="15" t="str">
        <f aca="false">IF(OR(D1002="",F1002=""),"",IF(F1002&lt;=1,D1002,D1002*(1+F1002/30)))</f>
        <v/>
      </c>
      <c r="I1002" s="15" t="str">
        <f aca="false">IF(OR(D1002="",F1002="",G1002=""),"",IF(F1002+MAX(0,10-G1002)&lt;=1,D1002,D1002*(1+(F1002+MAX(0,10-G1002))/30)))</f>
        <v/>
      </c>
      <c r="J1002" s="16" t="str">
        <f aca="false">IF(A1002="","",IF(AND(C1002="yes",N(G1002)&gt;=7),N(E1002),0))</f>
        <v/>
      </c>
      <c r="K1002" s="17" t="str">
        <f aca="false">IF(A1002="","",A1002-WEEKDAY(A1002,3))</f>
        <v/>
      </c>
      <c r="L1002" s="11"/>
    </row>
    <row r="1003" customFormat="false" ht="15" hidden="false" customHeight="false" outlineLevel="0" collapsed="false">
      <c r="A1003" s="10"/>
      <c r="B1003" s="11"/>
      <c r="C1003" s="11"/>
      <c r="D1003" s="11"/>
      <c r="E1003" s="11"/>
      <c r="F1003" s="11"/>
      <c r="G1003" s="11"/>
      <c r="H1003" s="15" t="str">
        <f aca="false">IF(OR(D1003="",F1003=""),"",IF(F1003&lt;=1,D1003,D1003*(1+F1003/30)))</f>
        <v/>
      </c>
      <c r="I1003" s="15" t="str">
        <f aca="false">IF(OR(D1003="",F1003="",G1003=""),"",IF(F1003+MAX(0,10-G1003)&lt;=1,D1003,D1003*(1+(F1003+MAX(0,10-G1003))/30)))</f>
        <v/>
      </c>
      <c r="J1003" s="16" t="str">
        <f aca="false">IF(A1003="","",IF(AND(C1003="yes",N(G1003)&gt;=7),N(E1003),0))</f>
        <v/>
      </c>
      <c r="K1003" s="17" t="str">
        <f aca="false">IF(A1003="","",A1003-WEEKDAY(A1003,3))</f>
        <v/>
      </c>
      <c r="L1003" s="11"/>
    </row>
    <row r="1004" customFormat="false" ht="15" hidden="false" customHeight="false" outlineLevel="0" collapsed="false">
      <c r="A1004" s="10"/>
      <c r="B1004" s="11"/>
      <c r="C1004" s="11"/>
      <c r="D1004" s="11"/>
      <c r="E1004" s="11"/>
      <c r="F1004" s="11"/>
      <c r="G1004" s="11"/>
      <c r="H1004" s="15" t="str">
        <f aca="false">IF(OR(D1004="",F1004=""),"",IF(F1004&lt;=1,D1004,D1004*(1+F1004/30)))</f>
        <v/>
      </c>
      <c r="I1004" s="15" t="str">
        <f aca="false">IF(OR(D1004="",F1004="",G1004=""),"",IF(F1004+MAX(0,10-G1004)&lt;=1,D1004,D1004*(1+(F1004+MAX(0,10-G1004))/30)))</f>
        <v/>
      </c>
      <c r="J1004" s="16" t="str">
        <f aca="false">IF(A1004="","",IF(AND(C1004="yes",N(G1004)&gt;=7),N(E1004),0))</f>
        <v/>
      </c>
      <c r="K1004" s="17" t="str">
        <f aca="false">IF(A1004="","",A1004-WEEKDAY(A1004,3))</f>
        <v/>
      </c>
      <c r="L1004" s="11"/>
    </row>
    <row r="1005" customFormat="false" ht="15" hidden="false" customHeight="false" outlineLevel="0" collapsed="false">
      <c r="A1005" s="10"/>
      <c r="B1005" s="11"/>
      <c r="C1005" s="11"/>
      <c r="D1005" s="11"/>
      <c r="E1005" s="11"/>
      <c r="F1005" s="11"/>
      <c r="G1005" s="11"/>
      <c r="H1005" s="15" t="str">
        <f aca="false">IF(OR(D1005="",F1005=""),"",IF(F1005&lt;=1,D1005,D1005*(1+F1005/30)))</f>
        <v/>
      </c>
      <c r="I1005" s="15" t="str">
        <f aca="false">IF(OR(D1005="",F1005="",G1005=""),"",IF(F1005+MAX(0,10-G1005)&lt;=1,D1005,D1005*(1+(F1005+MAX(0,10-G1005))/30)))</f>
        <v/>
      </c>
      <c r="J1005" s="16" t="str">
        <f aca="false">IF(A1005="","",IF(AND(C1005="yes",N(G1005)&gt;=7),N(E1005),0))</f>
        <v/>
      </c>
      <c r="K1005" s="17" t="str">
        <f aca="false">IF(A1005="","",A1005-WEEKDAY(A1005,3))</f>
        <v/>
      </c>
      <c r="L1005" s="11"/>
    </row>
    <row r="1006" customFormat="false" ht="15" hidden="false" customHeight="false" outlineLevel="0" collapsed="false">
      <c r="A1006" s="10"/>
      <c r="B1006" s="11"/>
      <c r="C1006" s="11"/>
      <c r="D1006" s="11"/>
      <c r="E1006" s="11"/>
      <c r="F1006" s="11"/>
      <c r="G1006" s="11"/>
      <c r="H1006" s="15" t="str">
        <f aca="false">IF(OR(D1006="",F1006=""),"",IF(F1006&lt;=1,D1006,D1006*(1+F1006/30)))</f>
        <v/>
      </c>
      <c r="I1006" s="15" t="str">
        <f aca="false">IF(OR(D1006="",F1006="",G1006=""),"",IF(F1006+MAX(0,10-G1006)&lt;=1,D1006,D1006*(1+(F1006+MAX(0,10-G1006))/30)))</f>
        <v/>
      </c>
      <c r="J1006" s="16" t="str">
        <f aca="false">IF(A1006="","",IF(AND(C1006="yes",N(G1006)&gt;=7),N(E1006),0))</f>
        <v/>
      </c>
      <c r="K1006" s="17" t="str">
        <f aca="false">IF(A1006="","",A1006-WEEKDAY(A1006,3))</f>
        <v/>
      </c>
      <c r="L1006" s="11"/>
    </row>
    <row r="1007" customFormat="false" ht="15" hidden="false" customHeight="false" outlineLevel="0" collapsed="false">
      <c r="A1007" s="10"/>
      <c r="B1007" s="11"/>
      <c r="C1007" s="11"/>
      <c r="D1007" s="11"/>
      <c r="E1007" s="11"/>
      <c r="F1007" s="11"/>
      <c r="G1007" s="11"/>
      <c r="H1007" s="15" t="str">
        <f aca="false">IF(OR(D1007="",F1007=""),"",IF(F1007&lt;=1,D1007,D1007*(1+F1007/30)))</f>
        <v/>
      </c>
      <c r="I1007" s="15" t="str">
        <f aca="false">IF(OR(D1007="",F1007="",G1007=""),"",IF(F1007+MAX(0,10-G1007)&lt;=1,D1007,D1007*(1+(F1007+MAX(0,10-G1007))/30)))</f>
        <v/>
      </c>
      <c r="J1007" s="16" t="str">
        <f aca="false">IF(A1007="","",IF(AND(C1007="yes",N(G1007)&gt;=7),N(E1007),0))</f>
        <v/>
      </c>
      <c r="K1007" s="17" t="str">
        <f aca="false">IF(A1007="","",A1007-WEEKDAY(A1007,3))</f>
        <v/>
      </c>
      <c r="L1007" s="11"/>
    </row>
    <row r="1008" customFormat="false" ht="15" hidden="false" customHeight="false" outlineLevel="0" collapsed="false">
      <c r="A1008" s="10"/>
      <c r="B1008" s="11"/>
      <c r="C1008" s="11"/>
      <c r="D1008" s="11"/>
      <c r="E1008" s="11"/>
      <c r="F1008" s="11"/>
      <c r="G1008" s="11"/>
      <c r="H1008" s="15" t="str">
        <f aca="false">IF(OR(D1008="",F1008=""),"",IF(F1008&lt;=1,D1008,D1008*(1+F1008/30)))</f>
        <v/>
      </c>
      <c r="I1008" s="15" t="str">
        <f aca="false">IF(OR(D1008="",F1008="",G1008=""),"",IF(F1008+MAX(0,10-G1008)&lt;=1,D1008,D1008*(1+(F1008+MAX(0,10-G1008))/30)))</f>
        <v/>
      </c>
      <c r="J1008" s="16" t="str">
        <f aca="false">IF(A1008="","",IF(AND(C1008="yes",N(G1008)&gt;=7),N(E1008),0))</f>
        <v/>
      </c>
      <c r="K1008" s="17" t="str">
        <f aca="false">IF(A1008="","",A1008-WEEKDAY(A1008,3))</f>
        <v/>
      </c>
      <c r="L1008" s="11"/>
    </row>
    <row r="1009" customFormat="false" ht="15" hidden="false" customHeight="false" outlineLevel="0" collapsed="false">
      <c r="A1009" s="10"/>
      <c r="B1009" s="11"/>
      <c r="C1009" s="11"/>
      <c r="D1009" s="11"/>
      <c r="E1009" s="11"/>
      <c r="F1009" s="11"/>
      <c r="G1009" s="11"/>
      <c r="H1009" s="15" t="str">
        <f aca="false">IF(OR(D1009="",F1009=""),"",IF(F1009&lt;=1,D1009,D1009*(1+F1009/30)))</f>
        <v/>
      </c>
      <c r="I1009" s="15" t="str">
        <f aca="false">IF(OR(D1009="",F1009="",G1009=""),"",IF(F1009+MAX(0,10-G1009)&lt;=1,D1009,D1009*(1+(F1009+MAX(0,10-G1009))/30)))</f>
        <v/>
      </c>
      <c r="J1009" s="16" t="str">
        <f aca="false">IF(A1009="","",IF(AND(C1009="yes",N(G1009)&gt;=7),N(E1009),0))</f>
        <v/>
      </c>
      <c r="K1009" s="17" t="str">
        <f aca="false">IF(A1009="","",A1009-WEEKDAY(A1009,3))</f>
        <v/>
      </c>
      <c r="L1009" s="11"/>
    </row>
    <row r="1010" customFormat="false" ht="15" hidden="false" customHeight="false" outlineLevel="0" collapsed="false">
      <c r="A1010" s="10"/>
      <c r="B1010" s="11"/>
      <c r="C1010" s="11"/>
      <c r="D1010" s="11"/>
      <c r="E1010" s="11"/>
      <c r="F1010" s="11"/>
      <c r="G1010" s="11"/>
      <c r="H1010" s="15" t="str">
        <f aca="false">IF(OR(D1010="",F1010=""),"",IF(F1010&lt;=1,D1010,D1010*(1+F1010/30)))</f>
        <v/>
      </c>
      <c r="I1010" s="15" t="str">
        <f aca="false">IF(OR(D1010="",F1010="",G1010=""),"",IF(F1010+MAX(0,10-G1010)&lt;=1,D1010,D1010*(1+(F1010+MAX(0,10-G1010))/30)))</f>
        <v/>
      </c>
      <c r="J1010" s="16" t="str">
        <f aca="false">IF(A1010="","",IF(AND(C1010="yes",N(G1010)&gt;=7),N(E1010),0))</f>
        <v/>
      </c>
      <c r="K1010" s="17" t="str">
        <f aca="false">IF(A1010="","",A1010-WEEKDAY(A1010,3))</f>
        <v/>
      </c>
      <c r="L1010" s="11"/>
    </row>
    <row r="1011" customFormat="false" ht="15" hidden="false" customHeight="false" outlineLevel="0" collapsed="false">
      <c r="A1011" s="10"/>
      <c r="B1011" s="11"/>
      <c r="C1011" s="11"/>
      <c r="D1011" s="11"/>
      <c r="E1011" s="11"/>
      <c r="F1011" s="11"/>
      <c r="G1011" s="11"/>
      <c r="H1011" s="15" t="str">
        <f aca="false">IF(OR(D1011="",F1011=""),"",IF(F1011&lt;=1,D1011,D1011*(1+F1011/30)))</f>
        <v/>
      </c>
      <c r="I1011" s="15" t="str">
        <f aca="false">IF(OR(D1011="",F1011="",G1011=""),"",IF(F1011+MAX(0,10-G1011)&lt;=1,D1011,D1011*(1+(F1011+MAX(0,10-G1011))/30)))</f>
        <v/>
      </c>
      <c r="J1011" s="16" t="str">
        <f aca="false">IF(A1011="","",IF(AND(C1011="yes",N(G1011)&gt;=7),N(E1011),0))</f>
        <v/>
      </c>
      <c r="K1011" s="17" t="str">
        <f aca="false">IF(A1011="","",A1011-WEEKDAY(A1011,3))</f>
        <v/>
      </c>
      <c r="L1011" s="11"/>
    </row>
    <row r="1012" customFormat="false" ht="15" hidden="false" customHeight="false" outlineLevel="0" collapsed="false">
      <c r="A1012" s="10"/>
      <c r="B1012" s="11"/>
      <c r="C1012" s="11"/>
      <c r="D1012" s="11"/>
      <c r="E1012" s="11"/>
      <c r="F1012" s="11"/>
      <c r="G1012" s="11"/>
      <c r="H1012" s="15" t="str">
        <f aca="false">IF(OR(D1012="",F1012=""),"",IF(F1012&lt;=1,D1012,D1012*(1+F1012/30)))</f>
        <v/>
      </c>
      <c r="I1012" s="15" t="str">
        <f aca="false">IF(OR(D1012="",F1012="",G1012=""),"",IF(F1012+MAX(0,10-G1012)&lt;=1,D1012,D1012*(1+(F1012+MAX(0,10-G1012))/30)))</f>
        <v/>
      </c>
      <c r="J1012" s="16" t="str">
        <f aca="false">IF(A1012="","",IF(AND(C1012="yes",N(G1012)&gt;=7),N(E1012),0))</f>
        <v/>
      </c>
      <c r="K1012" s="17" t="str">
        <f aca="false">IF(A1012="","",A1012-WEEKDAY(A1012,3))</f>
        <v/>
      </c>
      <c r="L1012" s="11"/>
    </row>
    <row r="1013" customFormat="false" ht="15" hidden="false" customHeight="false" outlineLevel="0" collapsed="false">
      <c r="A1013" s="10"/>
      <c r="B1013" s="11"/>
      <c r="C1013" s="11"/>
      <c r="D1013" s="11"/>
      <c r="E1013" s="11"/>
      <c r="F1013" s="11"/>
      <c r="G1013" s="11"/>
      <c r="H1013" s="15" t="str">
        <f aca="false">IF(OR(D1013="",F1013=""),"",IF(F1013&lt;=1,D1013,D1013*(1+F1013/30)))</f>
        <v/>
      </c>
      <c r="I1013" s="15" t="str">
        <f aca="false">IF(OR(D1013="",F1013="",G1013=""),"",IF(F1013+MAX(0,10-G1013)&lt;=1,D1013,D1013*(1+(F1013+MAX(0,10-G1013))/30)))</f>
        <v/>
      </c>
      <c r="J1013" s="16" t="str">
        <f aca="false">IF(A1013="","",IF(AND(C1013="yes",N(G1013)&gt;=7),N(E1013),0))</f>
        <v/>
      </c>
      <c r="K1013" s="17" t="str">
        <f aca="false">IF(A1013="","",A1013-WEEKDAY(A1013,3))</f>
        <v/>
      </c>
      <c r="L1013" s="11"/>
    </row>
    <row r="1014" customFormat="false" ht="15" hidden="false" customHeight="false" outlineLevel="0" collapsed="false">
      <c r="A1014" s="10"/>
      <c r="B1014" s="11"/>
      <c r="C1014" s="11"/>
      <c r="D1014" s="11"/>
      <c r="E1014" s="11"/>
      <c r="F1014" s="11"/>
      <c r="G1014" s="11"/>
      <c r="H1014" s="15" t="str">
        <f aca="false">IF(OR(D1014="",F1014=""),"",IF(F1014&lt;=1,D1014,D1014*(1+F1014/30)))</f>
        <v/>
      </c>
      <c r="I1014" s="15" t="str">
        <f aca="false">IF(OR(D1014="",F1014="",G1014=""),"",IF(F1014+MAX(0,10-G1014)&lt;=1,D1014,D1014*(1+(F1014+MAX(0,10-G1014))/30)))</f>
        <v/>
      </c>
      <c r="J1014" s="16" t="str">
        <f aca="false">IF(A1014="","",IF(AND(C1014="yes",N(G1014)&gt;=7),N(E1014),0))</f>
        <v/>
      </c>
      <c r="K1014" s="17" t="str">
        <f aca="false">IF(A1014="","",A1014-WEEKDAY(A1014,3))</f>
        <v/>
      </c>
      <c r="L1014" s="11"/>
    </row>
    <row r="1015" customFormat="false" ht="15" hidden="false" customHeight="false" outlineLevel="0" collapsed="false">
      <c r="A1015" s="10"/>
      <c r="B1015" s="11"/>
      <c r="C1015" s="11"/>
      <c r="D1015" s="11"/>
      <c r="E1015" s="11"/>
      <c r="F1015" s="11"/>
      <c r="G1015" s="11"/>
      <c r="H1015" s="15" t="str">
        <f aca="false">IF(OR(D1015="",F1015=""),"",IF(F1015&lt;=1,D1015,D1015*(1+F1015/30)))</f>
        <v/>
      </c>
      <c r="I1015" s="15" t="str">
        <f aca="false">IF(OR(D1015="",F1015="",G1015=""),"",IF(F1015+MAX(0,10-G1015)&lt;=1,D1015,D1015*(1+(F1015+MAX(0,10-G1015))/30)))</f>
        <v/>
      </c>
      <c r="J1015" s="16" t="str">
        <f aca="false">IF(A1015="","",IF(AND(C1015="yes",N(G1015)&gt;=7),N(E1015),0))</f>
        <v/>
      </c>
      <c r="K1015" s="17" t="str">
        <f aca="false">IF(A1015="","",A1015-WEEKDAY(A1015,3))</f>
        <v/>
      </c>
      <c r="L1015" s="11"/>
    </row>
    <row r="1016" customFormat="false" ht="15" hidden="false" customHeight="false" outlineLevel="0" collapsed="false">
      <c r="A1016" s="10"/>
      <c r="B1016" s="11"/>
      <c r="C1016" s="11"/>
      <c r="D1016" s="11"/>
      <c r="E1016" s="11"/>
      <c r="F1016" s="11"/>
      <c r="G1016" s="11"/>
      <c r="H1016" s="15" t="str">
        <f aca="false">IF(OR(D1016="",F1016=""),"",IF(F1016&lt;=1,D1016,D1016*(1+F1016/30)))</f>
        <v/>
      </c>
      <c r="I1016" s="15" t="str">
        <f aca="false">IF(OR(D1016="",F1016="",G1016=""),"",IF(F1016+MAX(0,10-G1016)&lt;=1,D1016,D1016*(1+(F1016+MAX(0,10-G1016))/30)))</f>
        <v/>
      </c>
      <c r="J1016" s="16" t="str">
        <f aca="false">IF(A1016="","",IF(AND(C1016="yes",N(G1016)&gt;=7),N(E1016),0))</f>
        <v/>
      </c>
      <c r="K1016" s="17" t="str">
        <f aca="false">IF(A1016="","",A1016-WEEKDAY(A1016,3))</f>
        <v/>
      </c>
      <c r="L1016" s="11"/>
    </row>
    <row r="1017" customFormat="false" ht="15" hidden="false" customHeight="false" outlineLevel="0" collapsed="false">
      <c r="A1017" s="10"/>
      <c r="B1017" s="11"/>
      <c r="C1017" s="11"/>
      <c r="D1017" s="11"/>
      <c r="E1017" s="11"/>
      <c r="F1017" s="11"/>
      <c r="G1017" s="11"/>
      <c r="H1017" s="15" t="str">
        <f aca="false">IF(OR(D1017="",F1017=""),"",IF(F1017&lt;=1,D1017,D1017*(1+F1017/30)))</f>
        <v/>
      </c>
      <c r="I1017" s="15" t="str">
        <f aca="false">IF(OR(D1017="",F1017="",G1017=""),"",IF(F1017+MAX(0,10-G1017)&lt;=1,D1017,D1017*(1+(F1017+MAX(0,10-G1017))/30)))</f>
        <v/>
      </c>
      <c r="J1017" s="16" t="str">
        <f aca="false">IF(A1017="","",IF(AND(C1017="yes",N(G1017)&gt;=7),N(E1017),0))</f>
        <v/>
      </c>
      <c r="K1017" s="17" t="str">
        <f aca="false">IF(A1017="","",A1017-WEEKDAY(A1017,3))</f>
        <v/>
      </c>
      <c r="L1017" s="11"/>
    </row>
    <row r="1018" customFormat="false" ht="15" hidden="false" customHeight="false" outlineLevel="0" collapsed="false">
      <c r="A1018" s="10"/>
      <c r="B1018" s="11"/>
      <c r="C1018" s="11"/>
      <c r="D1018" s="11"/>
      <c r="E1018" s="11"/>
      <c r="F1018" s="11"/>
      <c r="G1018" s="11"/>
      <c r="H1018" s="15" t="str">
        <f aca="false">IF(OR(D1018="",F1018=""),"",IF(F1018&lt;=1,D1018,D1018*(1+F1018/30)))</f>
        <v/>
      </c>
      <c r="I1018" s="15" t="str">
        <f aca="false">IF(OR(D1018="",F1018="",G1018=""),"",IF(F1018+MAX(0,10-G1018)&lt;=1,D1018,D1018*(1+(F1018+MAX(0,10-G1018))/30)))</f>
        <v/>
      </c>
      <c r="J1018" s="16" t="str">
        <f aca="false">IF(A1018="","",IF(AND(C1018="yes",N(G1018)&gt;=7),N(E1018),0))</f>
        <v/>
      </c>
      <c r="K1018" s="17" t="str">
        <f aca="false">IF(A1018="","",A1018-WEEKDAY(A1018,3))</f>
        <v/>
      </c>
      <c r="L1018" s="11"/>
    </row>
    <row r="1019" customFormat="false" ht="15" hidden="false" customHeight="false" outlineLevel="0" collapsed="false">
      <c r="A1019" s="10"/>
      <c r="B1019" s="11"/>
      <c r="C1019" s="11"/>
      <c r="D1019" s="11"/>
      <c r="E1019" s="11"/>
      <c r="F1019" s="11"/>
      <c r="G1019" s="11"/>
      <c r="H1019" s="15" t="str">
        <f aca="false">IF(OR(D1019="",F1019=""),"",IF(F1019&lt;=1,D1019,D1019*(1+F1019/30)))</f>
        <v/>
      </c>
      <c r="I1019" s="15" t="str">
        <f aca="false">IF(OR(D1019="",F1019="",G1019=""),"",IF(F1019+MAX(0,10-G1019)&lt;=1,D1019,D1019*(1+(F1019+MAX(0,10-G1019))/30)))</f>
        <v/>
      </c>
      <c r="J1019" s="16" t="str">
        <f aca="false">IF(A1019="","",IF(AND(C1019="yes",N(G1019)&gt;=7),N(E1019),0))</f>
        <v/>
      </c>
      <c r="K1019" s="17" t="str">
        <f aca="false">IF(A1019="","",A1019-WEEKDAY(A1019,3))</f>
        <v/>
      </c>
      <c r="L1019" s="11"/>
    </row>
    <row r="1020" customFormat="false" ht="15" hidden="false" customHeight="false" outlineLevel="0" collapsed="false">
      <c r="A1020" s="10"/>
      <c r="B1020" s="11"/>
      <c r="C1020" s="11"/>
      <c r="D1020" s="11"/>
      <c r="E1020" s="11"/>
      <c r="F1020" s="11"/>
      <c r="G1020" s="11"/>
      <c r="H1020" s="15" t="str">
        <f aca="false">IF(OR(D1020="",F1020=""),"",IF(F1020&lt;=1,D1020,D1020*(1+F1020/30)))</f>
        <v/>
      </c>
      <c r="I1020" s="15" t="str">
        <f aca="false">IF(OR(D1020="",F1020="",G1020=""),"",IF(F1020+MAX(0,10-G1020)&lt;=1,D1020,D1020*(1+(F1020+MAX(0,10-G1020))/30)))</f>
        <v/>
      </c>
      <c r="J1020" s="16" t="str">
        <f aca="false">IF(A1020="","",IF(AND(C1020="yes",N(G1020)&gt;=7),N(E1020),0))</f>
        <v/>
      </c>
      <c r="K1020" s="17" t="str">
        <f aca="false">IF(A1020="","",A1020-WEEKDAY(A1020,3))</f>
        <v/>
      </c>
      <c r="L1020" s="11"/>
    </row>
    <row r="1021" customFormat="false" ht="15" hidden="false" customHeight="false" outlineLevel="0" collapsed="false">
      <c r="A1021" s="10"/>
      <c r="B1021" s="11"/>
      <c r="C1021" s="11"/>
      <c r="D1021" s="11"/>
      <c r="E1021" s="11"/>
      <c r="F1021" s="11"/>
      <c r="G1021" s="11"/>
      <c r="H1021" s="15" t="str">
        <f aca="false">IF(OR(D1021="",F1021=""),"",IF(F1021&lt;=1,D1021,D1021*(1+F1021/30)))</f>
        <v/>
      </c>
      <c r="I1021" s="15" t="str">
        <f aca="false">IF(OR(D1021="",F1021="",G1021=""),"",IF(F1021+MAX(0,10-G1021)&lt;=1,D1021,D1021*(1+(F1021+MAX(0,10-G1021))/30)))</f>
        <v/>
      </c>
      <c r="J1021" s="16" t="str">
        <f aca="false">IF(A1021="","",IF(AND(C1021="yes",N(G1021)&gt;=7),N(E1021),0))</f>
        <v/>
      </c>
      <c r="K1021" s="17" t="str">
        <f aca="false">IF(A1021="","",A1021-WEEKDAY(A1021,3))</f>
        <v/>
      </c>
      <c r="L1021" s="11"/>
    </row>
    <row r="1022" customFormat="false" ht="15" hidden="false" customHeight="false" outlineLevel="0" collapsed="false">
      <c r="A1022" s="10"/>
      <c r="B1022" s="11"/>
      <c r="C1022" s="11"/>
      <c r="D1022" s="11"/>
      <c r="E1022" s="11"/>
      <c r="F1022" s="11"/>
      <c r="G1022" s="11"/>
      <c r="H1022" s="15" t="str">
        <f aca="false">IF(OR(D1022="",F1022=""),"",IF(F1022&lt;=1,D1022,D1022*(1+F1022/30)))</f>
        <v/>
      </c>
      <c r="I1022" s="15" t="str">
        <f aca="false">IF(OR(D1022="",F1022="",G1022=""),"",IF(F1022+MAX(0,10-G1022)&lt;=1,D1022,D1022*(1+(F1022+MAX(0,10-G1022))/30)))</f>
        <v/>
      </c>
      <c r="J1022" s="16" t="str">
        <f aca="false">IF(A1022="","",IF(AND(C1022="yes",N(G1022)&gt;=7),N(E1022),0))</f>
        <v/>
      </c>
      <c r="K1022" s="17" t="str">
        <f aca="false">IF(A1022="","",A1022-WEEKDAY(A1022,3))</f>
        <v/>
      </c>
      <c r="L1022" s="11"/>
    </row>
    <row r="1023" customFormat="false" ht="15" hidden="false" customHeight="false" outlineLevel="0" collapsed="false">
      <c r="A1023" s="10"/>
      <c r="B1023" s="11"/>
      <c r="C1023" s="11"/>
      <c r="D1023" s="11"/>
      <c r="E1023" s="11"/>
      <c r="F1023" s="11"/>
      <c r="G1023" s="11"/>
      <c r="H1023" s="15" t="str">
        <f aca="false">IF(OR(D1023="",F1023=""),"",IF(F1023&lt;=1,D1023,D1023*(1+F1023/30)))</f>
        <v/>
      </c>
      <c r="I1023" s="15" t="str">
        <f aca="false">IF(OR(D1023="",F1023="",G1023=""),"",IF(F1023+MAX(0,10-G1023)&lt;=1,D1023,D1023*(1+(F1023+MAX(0,10-G1023))/30)))</f>
        <v/>
      </c>
      <c r="J1023" s="16" t="str">
        <f aca="false">IF(A1023="","",IF(AND(C1023="yes",N(G1023)&gt;=7),N(E1023),0))</f>
        <v/>
      </c>
      <c r="K1023" s="17" t="str">
        <f aca="false">IF(A1023="","",A1023-WEEKDAY(A1023,3))</f>
        <v/>
      </c>
      <c r="L1023" s="11"/>
    </row>
    <row r="1024" customFormat="false" ht="15" hidden="false" customHeight="false" outlineLevel="0" collapsed="false">
      <c r="A1024" s="10"/>
      <c r="B1024" s="11"/>
      <c r="C1024" s="11"/>
      <c r="D1024" s="11"/>
      <c r="E1024" s="11"/>
      <c r="F1024" s="11"/>
      <c r="G1024" s="11"/>
      <c r="H1024" s="15" t="str">
        <f aca="false">IF(OR(D1024="",F1024=""),"",IF(F1024&lt;=1,D1024,D1024*(1+F1024/30)))</f>
        <v/>
      </c>
      <c r="I1024" s="15" t="str">
        <f aca="false">IF(OR(D1024="",F1024="",G1024=""),"",IF(F1024+MAX(0,10-G1024)&lt;=1,D1024,D1024*(1+(F1024+MAX(0,10-G1024))/30)))</f>
        <v/>
      </c>
      <c r="J1024" s="16" t="str">
        <f aca="false">IF(A1024="","",IF(AND(C1024="yes",N(G1024)&gt;=7),N(E1024),0))</f>
        <v/>
      </c>
      <c r="K1024" s="17" t="str">
        <f aca="false">IF(A1024="","",A1024-WEEKDAY(A1024,3))</f>
        <v/>
      </c>
      <c r="L1024" s="11"/>
    </row>
    <row r="1025" customFormat="false" ht="15" hidden="false" customHeight="false" outlineLevel="0" collapsed="false">
      <c r="A1025" s="10"/>
      <c r="B1025" s="11"/>
      <c r="C1025" s="11"/>
      <c r="D1025" s="11"/>
      <c r="E1025" s="11"/>
      <c r="F1025" s="11"/>
      <c r="G1025" s="11"/>
      <c r="H1025" s="15" t="str">
        <f aca="false">IF(OR(D1025="",F1025=""),"",IF(F1025&lt;=1,D1025,D1025*(1+F1025/30)))</f>
        <v/>
      </c>
      <c r="I1025" s="15" t="str">
        <f aca="false">IF(OR(D1025="",F1025="",G1025=""),"",IF(F1025+MAX(0,10-G1025)&lt;=1,D1025,D1025*(1+(F1025+MAX(0,10-G1025))/30)))</f>
        <v/>
      </c>
      <c r="J1025" s="16" t="str">
        <f aca="false">IF(A1025="","",IF(AND(C1025="yes",N(G1025)&gt;=7),N(E1025),0))</f>
        <v/>
      </c>
      <c r="K1025" s="17" t="str">
        <f aca="false">IF(A1025="","",A1025-WEEKDAY(A1025,3))</f>
        <v/>
      </c>
      <c r="L1025" s="11"/>
    </row>
    <row r="1026" customFormat="false" ht="15" hidden="false" customHeight="false" outlineLevel="0" collapsed="false">
      <c r="A1026" s="10"/>
      <c r="B1026" s="11"/>
      <c r="C1026" s="11"/>
      <c r="D1026" s="11"/>
      <c r="E1026" s="11"/>
      <c r="F1026" s="11"/>
      <c r="G1026" s="11"/>
      <c r="H1026" s="15" t="str">
        <f aca="false">IF(OR(D1026="",F1026=""),"",IF(F1026&lt;=1,D1026,D1026*(1+F1026/30)))</f>
        <v/>
      </c>
      <c r="I1026" s="15" t="str">
        <f aca="false">IF(OR(D1026="",F1026="",G1026=""),"",IF(F1026+MAX(0,10-G1026)&lt;=1,D1026,D1026*(1+(F1026+MAX(0,10-G1026))/30)))</f>
        <v/>
      </c>
      <c r="J1026" s="16" t="str">
        <f aca="false">IF(A1026="","",IF(AND(C1026="yes",N(G1026)&gt;=7),N(E1026),0))</f>
        <v/>
      </c>
      <c r="K1026" s="17" t="str">
        <f aca="false">IF(A1026="","",A1026-WEEKDAY(A1026,3))</f>
        <v/>
      </c>
      <c r="L1026" s="11"/>
    </row>
    <row r="1027" customFormat="false" ht="15" hidden="false" customHeight="false" outlineLevel="0" collapsed="false">
      <c r="A1027" s="10"/>
      <c r="B1027" s="11"/>
      <c r="C1027" s="11"/>
      <c r="D1027" s="11"/>
      <c r="E1027" s="11"/>
      <c r="F1027" s="11"/>
      <c r="G1027" s="11"/>
      <c r="H1027" s="15" t="str">
        <f aca="false">IF(OR(D1027="",F1027=""),"",IF(F1027&lt;=1,D1027,D1027*(1+F1027/30)))</f>
        <v/>
      </c>
      <c r="I1027" s="15" t="str">
        <f aca="false">IF(OR(D1027="",F1027="",G1027=""),"",IF(F1027+MAX(0,10-G1027)&lt;=1,D1027,D1027*(1+(F1027+MAX(0,10-G1027))/30)))</f>
        <v/>
      </c>
      <c r="J1027" s="16" t="str">
        <f aca="false">IF(A1027="","",IF(AND(C1027="yes",N(G1027)&gt;=7),N(E1027),0))</f>
        <v/>
      </c>
      <c r="K1027" s="17" t="str">
        <f aca="false">IF(A1027="","",A1027-WEEKDAY(A1027,3))</f>
        <v/>
      </c>
      <c r="L1027" s="11"/>
    </row>
    <row r="1028" customFormat="false" ht="15" hidden="false" customHeight="false" outlineLevel="0" collapsed="false">
      <c r="A1028" s="10"/>
      <c r="B1028" s="11"/>
      <c r="C1028" s="11"/>
      <c r="D1028" s="11"/>
      <c r="E1028" s="11"/>
      <c r="F1028" s="11"/>
      <c r="G1028" s="11"/>
      <c r="H1028" s="15" t="str">
        <f aca="false">IF(OR(D1028="",F1028=""),"",IF(F1028&lt;=1,D1028,D1028*(1+F1028/30)))</f>
        <v/>
      </c>
      <c r="I1028" s="15" t="str">
        <f aca="false">IF(OR(D1028="",F1028="",G1028=""),"",IF(F1028+MAX(0,10-G1028)&lt;=1,D1028,D1028*(1+(F1028+MAX(0,10-G1028))/30)))</f>
        <v/>
      </c>
      <c r="J1028" s="16" t="str">
        <f aca="false">IF(A1028="","",IF(AND(C1028="yes",N(G1028)&gt;=7),N(E1028),0))</f>
        <v/>
      </c>
      <c r="K1028" s="17" t="str">
        <f aca="false">IF(A1028="","",A1028-WEEKDAY(A1028,3))</f>
        <v/>
      </c>
      <c r="L1028" s="11"/>
    </row>
    <row r="1029" customFormat="false" ht="15" hidden="false" customHeight="false" outlineLevel="0" collapsed="false">
      <c r="A1029" s="10"/>
      <c r="B1029" s="11"/>
      <c r="C1029" s="11"/>
      <c r="D1029" s="11"/>
      <c r="E1029" s="11"/>
      <c r="F1029" s="11"/>
      <c r="G1029" s="11"/>
      <c r="H1029" s="15" t="str">
        <f aca="false">IF(OR(D1029="",F1029=""),"",IF(F1029&lt;=1,D1029,D1029*(1+F1029/30)))</f>
        <v/>
      </c>
      <c r="I1029" s="15" t="str">
        <f aca="false">IF(OR(D1029="",F1029="",G1029=""),"",IF(F1029+MAX(0,10-G1029)&lt;=1,D1029,D1029*(1+(F1029+MAX(0,10-G1029))/30)))</f>
        <v/>
      </c>
      <c r="J1029" s="16" t="str">
        <f aca="false">IF(A1029="","",IF(AND(C1029="yes",N(G1029)&gt;=7),N(E1029),0))</f>
        <v/>
      </c>
      <c r="K1029" s="17" t="str">
        <f aca="false">IF(A1029="","",A1029-WEEKDAY(A1029,3))</f>
        <v/>
      </c>
      <c r="L1029" s="11"/>
    </row>
    <row r="1030" customFormat="false" ht="15" hidden="false" customHeight="false" outlineLevel="0" collapsed="false">
      <c r="A1030" s="10"/>
      <c r="B1030" s="11"/>
      <c r="C1030" s="11"/>
      <c r="D1030" s="11"/>
      <c r="E1030" s="11"/>
      <c r="F1030" s="11"/>
      <c r="G1030" s="11"/>
      <c r="H1030" s="15" t="str">
        <f aca="false">IF(OR(D1030="",F1030=""),"",IF(F1030&lt;=1,D1030,D1030*(1+F1030/30)))</f>
        <v/>
      </c>
      <c r="I1030" s="15" t="str">
        <f aca="false">IF(OR(D1030="",F1030="",G1030=""),"",IF(F1030+MAX(0,10-G1030)&lt;=1,D1030,D1030*(1+(F1030+MAX(0,10-G1030))/30)))</f>
        <v/>
      </c>
      <c r="J1030" s="16" t="str">
        <f aca="false">IF(A1030="","",IF(AND(C1030="yes",N(G1030)&gt;=7),N(E1030),0))</f>
        <v/>
      </c>
      <c r="K1030" s="17" t="str">
        <f aca="false">IF(A1030="","",A1030-WEEKDAY(A1030,3))</f>
        <v/>
      </c>
      <c r="L1030" s="11"/>
    </row>
    <row r="1031" customFormat="false" ht="15" hidden="false" customHeight="false" outlineLevel="0" collapsed="false">
      <c r="A1031" s="10"/>
      <c r="B1031" s="11"/>
      <c r="C1031" s="11"/>
      <c r="D1031" s="11"/>
      <c r="E1031" s="11"/>
      <c r="F1031" s="11"/>
      <c r="G1031" s="11"/>
      <c r="H1031" s="15" t="str">
        <f aca="false">IF(OR(D1031="",F1031=""),"",IF(F1031&lt;=1,D1031,D1031*(1+F1031/30)))</f>
        <v/>
      </c>
      <c r="I1031" s="15" t="str">
        <f aca="false">IF(OR(D1031="",F1031="",G1031=""),"",IF(F1031+MAX(0,10-G1031)&lt;=1,D1031,D1031*(1+(F1031+MAX(0,10-G1031))/30)))</f>
        <v/>
      </c>
      <c r="J1031" s="16" t="str">
        <f aca="false">IF(A1031="","",IF(AND(C1031="yes",N(G1031)&gt;=7),N(E1031),0))</f>
        <v/>
      </c>
      <c r="K1031" s="17" t="str">
        <f aca="false">IF(A1031="","",A1031-WEEKDAY(A1031,3))</f>
        <v/>
      </c>
      <c r="L1031" s="11"/>
    </row>
    <row r="1032" customFormat="false" ht="15" hidden="false" customHeight="false" outlineLevel="0" collapsed="false">
      <c r="A1032" s="10"/>
      <c r="B1032" s="11"/>
      <c r="C1032" s="11"/>
      <c r="D1032" s="11"/>
      <c r="E1032" s="11"/>
      <c r="F1032" s="11"/>
      <c r="G1032" s="11"/>
      <c r="H1032" s="15" t="str">
        <f aca="false">IF(OR(D1032="",F1032=""),"",IF(F1032&lt;=1,D1032,D1032*(1+F1032/30)))</f>
        <v/>
      </c>
      <c r="I1032" s="15" t="str">
        <f aca="false">IF(OR(D1032="",F1032="",G1032=""),"",IF(F1032+MAX(0,10-G1032)&lt;=1,D1032,D1032*(1+(F1032+MAX(0,10-G1032))/30)))</f>
        <v/>
      </c>
      <c r="J1032" s="16" t="str">
        <f aca="false">IF(A1032="","",IF(AND(C1032="yes",N(G1032)&gt;=7),N(E1032),0))</f>
        <v/>
      </c>
      <c r="K1032" s="17" t="str">
        <f aca="false">IF(A1032="","",A1032-WEEKDAY(A1032,3))</f>
        <v/>
      </c>
      <c r="L1032" s="11"/>
    </row>
    <row r="1033" customFormat="false" ht="15" hidden="false" customHeight="false" outlineLevel="0" collapsed="false">
      <c r="A1033" s="10"/>
      <c r="B1033" s="11"/>
      <c r="C1033" s="11"/>
      <c r="D1033" s="11"/>
      <c r="E1033" s="11"/>
      <c r="F1033" s="11"/>
      <c r="G1033" s="11"/>
      <c r="H1033" s="15" t="str">
        <f aca="false">IF(OR(D1033="",F1033=""),"",IF(F1033&lt;=1,D1033,D1033*(1+F1033/30)))</f>
        <v/>
      </c>
      <c r="I1033" s="15" t="str">
        <f aca="false">IF(OR(D1033="",F1033="",G1033=""),"",IF(F1033+MAX(0,10-G1033)&lt;=1,D1033,D1033*(1+(F1033+MAX(0,10-G1033))/30)))</f>
        <v/>
      </c>
      <c r="J1033" s="16" t="str">
        <f aca="false">IF(A1033="","",IF(AND(C1033="yes",N(G1033)&gt;=7),N(E1033),0))</f>
        <v/>
      </c>
      <c r="K1033" s="17" t="str">
        <f aca="false">IF(A1033="","",A1033-WEEKDAY(A1033,3))</f>
        <v/>
      </c>
      <c r="L1033" s="11"/>
    </row>
    <row r="1034" customFormat="false" ht="15" hidden="false" customHeight="false" outlineLevel="0" collapsed="false">
      <c r="A1034" s="10"/>
      <c r="B1034" s="11"/>
      <c r="C1034" s="11"/>
      <c r="D1034" s="11"/>
      <c r="E1034" s="11"/>
      <c r="F1034" s="11"/>
      <c r="G1034" s="11"/>
      <c r="H1034" s="15" t="str">
        <f aca="false">IF(OR(D1034="",F1034=""),"",IF(F1034&lt;=1,D1034,D1034*(1+F1034/30)))</f>
        <v/>
      </c>
      <c r="I1034" s="15" t="str">
        <f aca="false">IF(OR(D1034="",F1034="",G1034=""),"",IF(F1034+MAX(0,10-G1034)&lt;=1,D1034,D1034*(1+(F1034+MAX(0,10-G1034))/30)))</f>
        <v/>
      </c>
      <c r="J1034" s="16" t="str">
        <f aca="false">IF(A1034="","",IF(AND(C1034="yes",N(G1034)&gt;=7),N(E1034),0))</f>
        <v/>
      </c>
      <c r="K1034" s="17" t="str">
        <f aca="false">IF(A1034="","",A1034-WEEKDAY(A1034,3))</f>
        <v/>
      </c>
      <c r="L1034" s="11"/>
    </row>
    <row r="1035" customFormat="false" ht="15" hidden="false" customHeight="false" outlineLevel="0" collapsed="false">
      <c r="A1035" s="10"/>
      <c r="B1035" s="11"/>
      <c r="C1035" s="11"/>
      <c r="D1035" s="11"/>
      <c r="E1035" s="11"/>
      <c r="F1035" s="11"/>
      <c r="G1035" s="11"/>
      <c r="H1035" s="15" t="str">
        <f aca="false">IF(OR(D1035="",F1035=""),"",IF(F1035&lt;=1,D1035,D1035*(1+F1035/30)))</f>
        <v/>
      </c>
      <c r="I1035" s="15" t="str">
        <f aca="false">IF(OR(D1035="",F1035="",G1035=""),"",IF(F1035+MAX(0,10-G1035)&lt;=1,D1035,D1035*(1+(F1035+MAX(0,10-G1035))/30)))</f>
        <v/>
      </c>
      <c r="J1035" s="16" t="str">
        <f aca="false">IF(A1035="","",IF(AND(C1035="yes",N(G1035)&gt;=7),N(E1035),0))</f>
        <v/>
      </c>
      <c r="K1035" s="17" t="str">
        <f aca="false">IF(A1035="","",A1035-WEEKDAY(A1035,3))</f>
        <v/>
      </c>
      <c r="L1035" s="11"/>
    </row>
    <row r="1036" customFormat="false" ht="15" hidden="false" customHeight="false" outlineLevel="0" collapsed="false">
      <c r="A1036" s="10"/>
      <c r="B1036" s="11"/>
      <c r="C1036" s="11"/>
      <c r="D1036" s="11"/>
      <c r="E1036" s="11"/>
      <c r="F1036" s="11"/>
      <c r="G1036" s="11"/>
      <c r="H1036" s="15" t="str">
        <f aca="false">IF(OR(D1036="",F1036=""),"",IF(F1036&lt;=1,D1036,D1036*(1+F1036/30)))</f>
        <v/>
      </c>
      <c r="I1036" s="15" t="str">
        <f aca="false">IF(OR(D1036="",F1036="",G1036=""),"",IF(F1036+MAX(0,10-G1036)&lt;=1,D1036,D1036*(1+(F1036+MAX(0,10-G1036))/30)))</f>
        <v/>
      </c>
      <c r="J1036" s="16" t="str">
        <f aca="false">IF(A1036="","",IF(AND(C1036="yes",N(G1036)&gt;=7),N(E1036),0))</f>
        <v/>
      </c>
      <c r="K1036" s="17" t="str">
        <f aca="false">IF(A1036="","",A1036-WEEKDAY(A1036,3))</f>
        <v/>
      </c>
      <c r="L1036" s="11"/>
    </row>
    <row r="1037" customFormat="false" ht="15" hidden="false" customHeight="false" outlineLevel="0" collapsed="false">
      <c r="A1037" s="10"/>
      <c r="B1037" s="11"/>
      <c r="C1037" s="11"/>
      <c r="D1037" s="11"/>
      <c r="E1037" s="11"/>
      <c r="F1037" s="11"/>
      <c r="G1037" s="11"/>
      <c r="H1037" s="15" t="str">
        <f aca="false">IF(OR(D1037="",F1037=""),"",IF(F1037&lt;=1,D1037,D1037*(1+F1037/30)))</f>
        <v/>
      </c>
      <c r="I1037" s="15" t="str">
        <f aca="false">IF(OR(D1037="",F1037="",G1037=""),"",IF(F1037+MAX(0,10-G1037)&lt;=1,D1037,D1037*(1+(F1037+MAX(0,10-G1037))/30)))</f>
        <v/>
      </c>
      <c r="J1037" s="16" t="str">
        <f aca="false">IF(A1037="","",IF(AND(C1037="yes",N(G1037)&gt;=7),N(E1037),0))</f>
        <v/>
      </c>
      <c r="K1037" s="17" t="str">
        <f aca="false">IF(A1037="","",A1037-WEEKDAY(A1037,3))</f>
        <v/>
      </c>
      <c r="L1037" s="11"/>
    </row>
    <row r="1038" customFormat="false" ht="15" hidden="false" customHeight="false" outlineLevel="0" collapsed="false">
      <c r="A1038" s="10"/>
      <c r="B1038" s="11"/>
      <c r="C1038" s="11"/>
      <c r="D1038" s="11"/>
      <c r="E1038" s="11"/>
      <c r="F1038" s="11"/>
      <c r="G1038" s="11"/>
      <c r="H1038" s="15" t="str">
        <f aca="false">IF(OR(D1038="",F1038=""),"",IF(F1038&lt;=1,D1038,D1038*(1+F1038/30)))</f>
        <v/>
      </c>
      <c r="I1038" s="15" t="str">
        <f aca="false">IF(OR(D1038="",F1038="",G1038=""),"",IF(F1038+MAX(0,10-G1038)&lt;=1,D1038,D1038*(1+(F1038+MAX(0,10-G1038))/30)))</f>
        <v/>
      </c>
      <c r="J1038" s="16" t="str">
        <f aca="false">IF(A1038="","",IF(AND(C1038="yes",N(G1038)&gt;=7),N(E1038),0))</f>
        <v/>
      </c>
      <c r="K1038" s="17" t="str">
        <f aca="false">IF(A1038="","",A1038-WEEKDAY(A1038,3))</f>
        <v/>
      </c>
      <c r="L1038" s="11"/>
    </row>
    <row r="1039" customFormat="false" ht="15" hidden="false" customHeight="false" outlineLevel="0" collapsed="false">
      <c r="A1039" s="10"/>
      <c r="B1039" s="11"/>
      <c r="C1039" s="11"/>
      <c r="D1039" s="11"/>
      <c r="E1039" s="11"/>
      <c r="F1039" s="11"/>
      <c r="G1039" s="11"/>
      <c r="H1039" s="15" t="str">
        <f aca="false">IF(OR(D1039="",F1039=""),"",IF(F1039&lt;=1,D1039,D1039*(1+F1039/30)))</f>
        <v/>
      </c>
      <c r="I1039" s="15" t="str">
        <f aca="false">IF(OR(D1039="",F1039="",G1039=""),"",IF(F1039+MAX(0,10-G1039)&lt;=1,D1039,D1039*(1+(F1039+MAX(0,10-G1039))/30)))</f>
        <v/>
      </c>
      <c r="J1039" s="16" t="str">
        <f aca="false">IF(A1039="","",IF(AND(C1039="yes",N(G1039)&gt;=7),N(E1039),0))</f>
        <v/>
      </c>
      <c r="K1039" s="17" t="str">
        <f aca="false">IF(A1039="","",A1039-WEEKDAY(A1039,3))</f>
        <v/>
      </c>
      <c r="L1039" s="11"/>
    </row>
    <row r="1040" customFormat="false" ht="15" hidden="false" customHeight="false" outlineLevel="0" collapsed="false">
      <c r="A1040" s="10"/>
      <c r="B1040" s="11"/>
      <c r="C1040" s="11"/>
      <c r="D1040" s="11"/>
      <c r="E1040" s="11"/>
      <c r="F1040" s="11"/>
      <c r="G1040" s="11"/>
      <c r="H1040" s="15" t="str">
        <f aca="false">IF(OR(D1040="",F1040=""),"",IF(F1040&lt;=1,D1040,D1040*(1+F1040/30)))</f>
        <v/>
      </c>
      <c r="I1040" s="15" t="str">
        <f aca="false">IF(OR(D1040="",F1040="",G1040=""),"",IF(F1040+MAX(0,10-G1040)&lt;=1,D1040,D1040*(1+(F1040+MAX(0,10-G1040))/30)))</f>
        <v/>
      </c>
      <c r="J1040" s="16" t="str">
        <f aca="false">IF(A1040="","",IF(AND(C1040="yes",N(G1040)&gt;=7),N(E1040),0))</f>
        <v/>
      </c>
      <c r="K1040" s="17" t="str">
        <f aca="false">IF(A1040="","",A1040-WEEKDAY(A1040,3))</f>
        <v/>
      </c>
      <c r="L1040" s="11"/>
    </row>
    <row r="1041" customFormat="false" ht="15" hidden="false" customHeight="false" outlineLevel="0" collapsed="false">
      <c r="A1041" s="10"/>
      <c r="B1041" s="11"/>
      <c r="C1041" s="11"/>
      <c r="D1041" s="11"/>
      <c r="E1041" s="11"/>
      <c r="F1041" s="11"/>
      <c r="G1041" s="11"/>
      <c r="H1041" s="15" t="str">
        <f aca="false">IF(OR(D1041="",F1041=""),"",IF(F1041&lt;=1,D1041,D1041*(1+F1041/30)))</f>
        <v/>
      </c>
      <c r="I1041" s="15" t="str">
        <f aca="false">IF(OR(D1041="",F1041="",G1041=""),"",IF(F1041+MAX(0,10-G1041)&lt;=1,D1041,D1041*(1+(F1041+MAX(0,10-G1041))/30)))</f>
        <v/>
      </c>
      <c r="J1041" s="16" t="str">
        <f aca="false">IF(A1041="","",IF(AND(C1041="yes",N(G1041)&gt;=7),N(E1041),0))</f>
        <v/>
      </c>
      <c r="K1041" s="17" t="str">
        <f aca="false">IF(A1041="","",A1041-WEEKDAY(A1041,3))</f>
        <v/>
      </c>
      <c r="L1041" s="11"/>
    </row>
    <row r="1042" customFormat="false" ht="15" hidden="false" customHeight="false" outlineLevel="0" collapsed="false">
      <c r="A1042" s="10"/>
      <c r="B1042" s="11"/>
      <c r="C1042" s="11"/>
      <c r="D1042" s="11"/>
      <c r="E1042" s="11"/>
      <c r="F1042" s="11"/>
      <c r="G1042" s="11"/>
      <c r="H1042" s="15" t="str">
        <f aca="false">IF(OR(D1042="",F1042=""),"",IF(F1042&lt;=1,D1042,D1042*(1+F1042/30)))</f>
        <v/>
      </c>
      <c r="I1042" s="15" t="str">
        <f aca="false">IF(OR(D1042="",F1042="",G1042=""),"",IF(F1042+MAX(0,10-G1042)&lt;=1,D1042,D1042*(1+(F1042+MAX(0,10-G1042))/30)))</f>
        <v/>
      </c>
      <c r="J1042" s="16" t="str">
        <f aca="false">IF(A1042="","",IF(AND(C1042="yes",N(G1042)&gt;=7),N(E1042),0))</f>
        <v/>
      </c>
      <c r="K1042" s="17" t="str">
        <f aca="false">IF(A1042="","",A1042-WEEKDAY(A1042,3))</f>
        <v/>
      </c>
      <c r="L1042" s="11"/>
    </row>
    <row r="1043" customFormat="false" ht="15" hidden="false" customHeight="false" outlineLevel="0" collapsed="false">
      <c r="A1043" s="10"/>
      <c r="B1043" s="11"/>
      <c r="C1043" s="11"/>
      <c r="D1043" s="11"/>
      <c r="E1043" s="11"/>
      <c r="F1043" s="11"/>
      <c r="G1043" s="11"/>
      <c r="H1043" s="15" t="str">
        <f aca="false">IF(OR(D1043="",F1043=""),"",IF(F1043&lt;=1,D1043,D1043*(1+F1043/30)))</f>
        <v/>
      </c>
      <c r="I1043" s="15" t="str">
        <f aca="false">IF(OR(D1043="",F1043="",G1043=""),"",IF(F1043+MAX(0,10-G1043)&lt;=1,D1043,D1043*(1+(F1043+MAX(0,10-G1043))/30)))</f>
        <v/>
      </c>
      <c r="J1043" s="16" t="str">
        <f aca="false">IF(A1043="","",IF(AND(C1043="yes",N(G1043)&gt;=7),N(E1043),0))</f>
        <v/>
      </c>
      <c r="K1043" s="17" t="str">
        <f aca="false">IF(A1043="","",A1043-WEEKDAY(A1043,3))</f>
        <v/>
      </c>
      <c r="L1043" s="11"/>
    </row>
    <row r="1044" customFormat="false" ht="15" hidden="false" customHeight="false" outlineLevel="0" collapsed="false">
      <c r="A1044" s="10"/>
      <c r="B1044" s="11"/>
      <c r="C1044" s="11"/>
      <c r="D1044" s="11"/>
      <c r="E1044" s="11"/>
      <c r="F1044" s="11"/>
      <c r="G1044" s="11"/>
      <c r="H1044" s="15" t="str">
        <f aca="false">IF(OR(D1044="",F1044=""),"",IF(F1044&lt;=1,D1044,D1044*(1+F1044/30)))</f>
        <v/>
      </c>
      <c r="I1044" s="15" t="str">
        <f aca="false">IF(OR(D1044="",F1044="",G1044=""),"",IF(F1044+MAX(0,10-G1044)&lt;=1,D1044,D1044*(1+(F1044+MAX(0,10-G1044))/30)))</f>
        <v/>
      </c>
      <c r="J1044" s="16" t="str">
        <f aca="false">IF(A1044="","",IF(AND(C1044="yes",N(G1044)&gt;=7),N(E1044),0))</f>
        <v/>
      </c>
      <c r="K1044" s="17" t="str">
        <f aca="false">IF(A1044="","",A1044-WEEKDAY(A1044,3))</f>
        <v/>
      </c>
      <c r="L1044" s="11"/>
    </row>
    <row r="1045" customFormat="false" ht="15" hidden="false" customHeight="false" outlineLevel="0" collapsed="false">
      <c r="A1045" s="10"/>
      <c r="B1045" s="11"/>
      <c r="C1045" s="11"/>
      <c r="D1045" s="11"/>
      <c r="E1045" s="11"/>
      <c r="F1045" s="11"/>
      <c r="G1045" s="11"/>
      <c r="H1045" s="15" t="str">
        <f aca="false">IF(OR(D1045="",F1045=""),"",IF(F1045&lt;=1,D1045,D1045*(1+F1045/30)))</f>
        <v/>
      </c>
      <c r="I1045" s="15" t="str">
        <f aca="false">IF(OR(D1045="",F1045="",G1045=""),"",IF(F1045+MAX(0,10-G1045)&lt;=1,D1045,D1045*(1+(F1045+MAX(0,10-G1045))/30)))</f>
        <v/>
      </c>
      <c r="J1045" s="16" t="str">
        <f aca="false">IF(A1045="","",IF(AND(C1045="yes",N(G1045)&gt;=7),N(E1045),0))</f>
        <v/>
      </c>
      <c r="K1045" s="17" t="str">
        <f aca="false">IF(A1045="","",A1045-WEEKDAY(A1045,3))</f>
        <v/>
      </c>
      <c r="L1045" s="11"/>
    </row>
    <row r="1046" customFormat="false" ht="15" hidden="false" customHeight="false" outlineLevel="0" collapsed="false">
      <c r="A1046" s="10"/>
      <c r="B1046" s="11"/>
      <c r="C1046" s="11"/>
      <c r="D1046" s="11"/>
      <c r="E1046" s="11"/>
      <c r="F1046" s="11"/>
      <c r="G1046" s="11"/>
      <c r="H1046" s="15" t="str">
        <f aca="false">IF(OR(D1046="",F1046=""),"",IF(F1046&lt;=1,D1046,D1046*(1+F1046/30)))</f>
        <v/>
      </c>
      <c r="I1046" s="15" t="str">
        <f aca="false">IF(OR(D1046="",F1046="",G1046=""),"",IF(F1046+MAX(0,10-G1046)&lt;=1,D1046,D1046*(1+(F1046+MAX(0,10-G1046))/30)))</f>
        <v/>
      </c>
      <c r="J1046" s="16" t="str">
        <f aca="false">IF(A1046="","",IF(AND(C1046="yes",N(G1046)&gt;=7),N(E1046),0))</f>
        <v/>
      </c>
      <c r="K1046" s="17" t="str">
        <f aca="false">IF(A1046="","",A1046-WEEKDAY(A1046,3))</f>
        <v/>
      </c>
      <c r="L1046" s="11"/>
    </row>
    <row r="1047" customFormat="false" ht="15" hidden="false" customHeight="false" outlineLevel="0" collapsed="false">
      <c r="A1047" s="10"/>
      <c r="B1047" s="11"/>
      <c r="C1047" s="11"/>
      <c r="D1047" s="11"/>
      <c r="E1047" s="11"/>
      <c r="F1047" s="11"/>
      <c r="G1047" s="11"/>
      <c r="H1047" s="15" t="str">
        <f aca="false">IF(OR(D1047="",F1047=""),"",IF(F1047&lt;=1,D1047,D1047*(1+F1047/30)))</f>
        <v/>
      </c>
      <c r="I1047" s="15" t="str">
        <f aca="false">IF(OR(D1047="",F1047="",G1047=""),"",IF(F1047+MAX(0,10-G1047)&lt;=1,D1047,D1047*(1+(F1047+MAX(0,10-G1047))/30)))</f>
        <v/>
      </c>
      <c r="J1047" s="16" t="str">
        <f aca="false">IF(A1047="","",IF(AND(C1047="yes",N(G1047)&gt;=7),N(E1047),0))</f>
        <v/>
      </c>
      <c r="K1047" s="17" t="str">
        <f aca="false">IF(A1047="","",A1047-WEEKDAY(A1047,3))</f>
        <v/>
      </c>
      <c r="L1047" s="11"/>
    </row>
    <row r="1048" customFormat="false" ht="15" hidden="false" customHeight="false" outlineLevel="0" collapsed="false">
      <c r="A1048" s="10"/>
      <c r="B1048" s="11"/>
      <c r="C1048" s="11"/>
      <c r="D1048" s="11"/>
      <c r="E1048" s="11"/>
      <c r="F1048" s="11"/>
      <c r="G1048" s="11"/>
      <c r="H1048" s="15" t="str">
        <f aca="false">IF(OR(D1048="",F1048=""),"",IF(F1048&lt;=1,D1048,D1048*(1+F1048/30)))</f>
        <v/>
      </c>
      <c r="I1048" s="15" t="str">
        <f aca="false">IF(OR(D1048="",F1048="",G1048=""),"",IF(F1048+MAX(0,10-G1048)&lt;=1,D1048,D1048*(1+(F1048+MAX(0,10-G1048))/30)))</f>
        <v/>
      </c>
      <c r="J1048" s="16" t="str">
        <f aca="false">IF(A1048="","",IF(AND(C1048="yes",N(G1048)&gt;=7),N(E1048),0))</f>
        <v/>
      </c>
      <c r="K1048" s="17" t="str">
        <f aca="false">IF(A1048="","",A1048-WEEKDAY(A1048,3))</f>
        <v/>
      </c>
      <c r="L1048" s="11"/>
    </row>
    <row r="1049" customFormat="false" ht="15" hidden="false" customHeight="false" outlineLevel="0" collapsed="false">
      <c r="A1049" s="10"/>
      <c r="B1049" s="11"/>
      <c r="C1049" s="11"/>
      <c r="D1049" s="11"/>
      <c r="E1049" s="11"/>
      <c r="F1049" s="11"/>
      <c r="G1049" s="11"/>
      <c r="H1049" s="15" t="str">
        <f aca="false">IF(OR(D1049="",F1049=""),"",IF(F1049&lt;=1,D1049,D1049*(1+F1049/30)))</f>
        <v/>
      </c>
      <c r="I1049" s="15" t="str">
        <f aca="false">IF(OR(D1049="",F1049="",G1049=""),"",IF(F1049+MAX(0,10-G1049)&lt;=1,D1049,D1049*(1+(F1049+MAX(0,10-G1049))/30)))</f>
        <v/>
      </c>
      <c r="J1049" s="16" t="str">
        <f aca="false">IF(A1049="","",IF(AND(C1049="yes",N(G1049)&gt;=7),N(E1049),0))</f>
        <v/>
      </c>
      <c r="K1049" s="17" t="str">
        <f aca="false">IF(A1049="","",A1049-WEEKDAY(A1049,3))</f>
        <v/>
      </c>
      <c r="L1049" s="11"/>
    </row>
    <row r="1050" customFormat="false" ht="15" hidden="false" customHeight="false" outlineLevel="0" collapsed="false">
      <c r="A1050" s="10"/>
      <c r="B1050" s="11"/>
      <c r="C1050" s="11"/>
      <c r="D1050" s="11"/>
      <c r="E1050" s="11"/>
      <c r="F1050" s="11"/>
      <c r="G1050" s="11"/>
      <c r="H1050" s="15" t="str">
        <f aca="false">IF(OR(D1050="",F1050=""),"",IF(F1050&lt;=1,D1050,D1050*(1+F1050/30)))</f>
        <v/>
      </c>
      <c r="I1050" s="15" t="str">
        <f aca="false">IF(OR(D1050="",F1050="",G1050=""),"",IF(F1050+MAX(0,10-G1050)&lt;=1,D1050,D1050*(1+(F1050+MAX(0,10-G1050))/30)))</f>
        <v/>
      </c>
      <c r="J1050" s="16" t="str">
        <f aca="false">IF(A1050="","",IF(AND(C1050="yes",N(G1050)&gt;=7),N(E1050),0))</f>
        <v/>
      </c>
      <c r="K1050" s="17" t="str">
        <f aca="false">IF(A1050="","",A1050-WEEKDAY(A1050,3))</f>
        <v/>
      </c>
      <c r="L1050" s="11"/>
    </row>
    <row r="1051" customFormat="false" ht="15" hidden="false" customHeight="false" outlineLevel="0" collapsed="false">
      <c r="A1051" s="10"/>
      <c r="B1051" s="11"/>
      <c r="C1051" s="11"/>
      <c r="D1051" s="11"/>
      <c r="E1051" s="11"/>
      <c r="F1051" s="11"/>
      <c r="G1051" s="11"/>
      <c r="H1051" s="15" t="str">
        <f aca="false">IF(OR(D1051="",F1051=""),"",IF(F1051&lt;=1,D1051,D1051*(1+F1051/30)))</f>
        <v/>
      </c>
      <c r="I1051" s="15" t="str">
        <f aca="false">IF(OR(D1051="",F1051="",G1051=""),"",IF(F1051+MAX(0,10-G1051)&lt;=1,D1051,D1051*(1+(F1051+MAX(0,10-G1051))/30)))</f>
        <v/>
      </c>
      <c r="J1051" s="16" t="str">
        <f aca="false">IF(A1051="","",IF(AND(C1051="yes",N(G1051)&gt;=7),N(E1051),0))</f>
        <v/>
      </c>
      <c r="K1051" s="17" t="str">
        <f aca="false">IF(A1051="","",A1051-WEEKDAY(A1051,3))</f>
        <v/>
      </c>
      <c r="L1051" s="11"/>
    </row>
    <row r="1052" customFormat="false" ht="15" hidden="false" customHeight="false" outlineLevel="0" collapsed="false">
      <c r="A1052" s="10"/>
      <c r="B1052" s="11"/>
      <c r="C1052" s="11"/>
      <c r="D1052" s="11"/>
      <c r="E1052" s="11"/>
      <c r="F1052" s="11"/>
      <c r="G1052" s="11"/>
      <c r="H1052" s="15" t="str">
        <f aca="false">IF(OR(D1052="",F1052=""),"",IF(F1052&lt;=1,D1052,D1052*(1+F1052/30)))</f>
        <v/>
      </c>
      <c r="I1052" s="15" t="str">
        <f aca="false">IF(OR(D1052="",F1052="",G1052=""),"",IF(F1052+MAX(0,10-G1052)&lt;=1,D1052,D1052*(1+(F1052+MAX(0,10-G1052))/30)))</f>
        <v/>
      </c>
      <c r="J1052" s="16" t="str">
        <f aca="false">IF(A1052="","",IF(AND(C1052="yes",N(G1052)&gt;=7),N(E1052),0))</f>
        <v/>
      </c>
      <c r="K1052" s="17" t="str">
        <f aca="false">IF(A1052="","",A1052-WEEKDAY(A1052,3))</f>
        <v/>
      </c>
      <c r="L1052" s="11"/>
    </row>
    <row r="1053" customFormat="false" ht="15" hidden="false" customHeight="false" outlineLevel="0" collapsed="false">
      <c r="A1053" s="10"/>
      <c r="B1053" s="11"/>
      <c r="C1053" s="11"/>
      <c r="D1053" s="11"/>
      <c r="E1053" s="11"/>
      <c r="F1053" s="11"/>
      <c r="G1053" s="11"/>
      <c r="H1053" s="15" t="str">
        <f aca="false">IF(OR(D1053="",F1053=""),"",IF(F1053&lt;=1,D1053,D1053*(1+F1053/30)))</f>
        <v/>
      </c>
      <c r="I1053" s="15" t="str">
        <f aca="false">IF(OR(D1053="",F1053="",G1053=""),"",IF(F1053+MAX(0,10-G1053)&lt;=1,D1053,D1053*(1+(F1053+MAX(0,10-G1053))/30)))</f>
        <v/>
      </c>
      <c r="J1053" s="16" t="str">
        <f aca="false">IF(A1053="","",IF(AND(C1053="yes",N(G1053)&gt;=7),N(E1053),0))</f>
        <v/>
      </c>
      <c r="K1053" s="17" t="str">
        <f aca="false">IF(A1053="","",A1053-WEEKDAY(A1053,3))</f>
        <v/>
      </c>
      <c r="L1053" s="11"/>
    </row>
    <row r="1054" customFormat="false" ht="15" hidden="false" customHeight="false" outlineLevel="0" collapsed="false">
      <c r="A1054" s="10"/>
      <c r="B1054" s="11"/>
      <c r="C1054" s="11"/>
      <c r="D1054" s="11"/>
      <c r="E1054" s="11"/>
      <c r="F1054" s="11"/>
      <c r="G1054" s="11"/>
      <c r="H1054" s="15" t="str">
        <f aca="false">IF(OR(D1054="",F1054=""),"",IF(F1054&lt;=1,D1054,D1054*(1+F1054/30)))</f>
        <v/>
      </c>
      <c r="I1054" s="15" t="str">
        <f aca="false">IF(OR(D1054="",F1054="",G1054=""),"",IF(F1054+MAX(0,10-G1054)&lt;=1,D1054,D1054*(1+(F1054+MAX(0,10-G1054))/30)))</f>
        <v/>
      </c>
      <c r="J1054" s="16" t="str">
        <f aca="false">IF(A1054="","",IF(AND(C1054="yes",N(G1054)&gt;=7),N(E1054),0))</f>
        <v/>
      </c>
      <c r="K1054" s="17" t="str">
        <f aca="false">IF(A1054="","",A1054-WEEKDAY(A1054,3))</f>
        <v/>
      </c>
      <c r="L1054" s="11"/>
    </row>
    <row r="1055" customFormat="false" ht="15" hidden="false" customHeight="false" outlineLevel="0" collapsed="false">
      <c r="A1055" s="10"/>
      <c r="B1055" s="11"/>
      <c r="C1055" s="11"/>
      <c r="D1055" s="11"/>
      <c r="E1055" s="11"/>
      <c r="F1055" s="11"/>
      <c r="G1055" s="11"/>
      <c r="H1055" s="15" t="str">
        <f aca="false">IF(OR(D1055="",F1055=""),"",IF(F1055&lt;=1,D1055,D1055*(1+F1055/30)))</f>
        <v/>
      </c>
      <c r="I1055" s="15" t="str">
        <f aca="false">IF(OR(D1055="",F1055="",G1055=""),"",IF(F1055+MAX(0,10-G1055)&lt;=1,D1055,D1055*(1+(F1055+MAX(0,10-G1055))/30)))</f>
        <v/>
      </c>
      <c r="J1055" s="16" t="str">
        <f aca="false">IF(A1055="","",IF(AND(C1055="yes",N(G1055)&gt;=7),N(E1055),0))</f>
        <v/>
      </c>
      <c r="K1055" s="17" t="str">
        <f aca="false">IF(A1055="","",A1055-WEEKDAY(A1055,3))</f>
        <v/>
      </c>
      <c r="L1055" s="11"/>
    </row>
    <row r="1056" customFormat="false" ht="15" hidden="false" customHeight="false" outlineLevel="0" collapsed="false">
      <c r="A1056" s="10"/>
      <c r="B1056" s="11"/>
      <c r="C1056" s="11"/>
      <c r="D1056" s="11"/>
      <c r="E1056" s="11"/>
      <c r="F1056" s="11"/>
      <c r="G1056" s="11"/>
      <c r="H1056" s="15" t="str">
        <f aca="false">IF(OR(D1056="",F1056=""),"",IF(F1056&lt;=1,D1056,D1056*(1+F1056/30)))</f>
        <v/>
      </c>
      <c r="I1056" s="15" t="str">
        <f aca="false">IF(OR(D1056="",F1056="",G1056=""),"",IF(F1056+MAX(0,10-G1056)&lt;=1,D1056,D1056*(1+(F1056+MAX(0,10-G1056))/30)))</f>
        <v/>
      </c>
      <c r="J1056" s="16" t="str">
        <f aca="false">IF(A1056="","",IF(AND(C1056="yes",N(G1056)&gt;=7),N(E1056),0))</f>
        <v/>
      </c>
      <c r="K1056" s="17" t="str">
        <f aca="false">IF(A1056="","",A1056-WEEKDAY(A1056,3))</f>
        <v/>
      </c>
      <c r="L1056" s="11"/>
    </row>
    <row r="1057" customFormat="false" ht="15" hidden="false" customHeight="false" outlineLevel="0" collapsed="false">
      <c r="A1057" s="10"/>
      <c r="B1057" s="11"/>
      <c r="C1057" s="11"/>
      <c r="D1057" s="11"/>
      <c r="E1057" s="11"/>
      <c r="F1057" s="11"/>
      <c r="G1057" s="11"/>
      <c r="H1057" s="15" t="str">
        <f aca="false">IF(OR(D1057="",F1057=""),"",IF(F1057&lt;=1,D1057,D1057*(1+F1057/30)))</f>
        <v/>
      </c>
      <c r="I1057" s="15" t="str">
        <f aca="false">IF(OR(D1057="",F1057="",G1057=""),"",IF(F1057+MAX(0,10-G1057)&lt;=1,D1057,D1057*(1+(F1057+MAX(0,10-G1057))/30)))</f>
        <v/>
      </c>
      <c r="J1057" s="16" t="str">
        <f aca="false">IF(A1057="","",IF(AND(C1057="yes",N(G1057)&gt;=7),N(E1057),0))</f>
        <v/>
      </c>
      <c r="K1057" s="17" t="str">
        <f aca="false">IF(A1057="","",A1057-WEEKDAY(A1057,3))</f>
        <v/>
      </c>
      <c r="L1057" s="11"/>
    </row>
    <row r="1058" customFormat="false" ht="15" hidden="false" customHeight="false" outlineLevel="0" collapsed="false">
      <c r="A1058" s="10"/>
      <c r="B1058" s="11"/>
      <c r="C1058" s="11"/>
      <c r="D1058" s="11"/>
      <c r="E1058" s="11"/>
      <c r="F1058" s="11"/>
      <c r="G1058" s="11"/>
      <c r="H1058" s="15" t="str">
        <f aca="false">IF(OR(D1058="",F1058=""),"",IF(F1058&lt;=1,D1058,D1058*(1+F1058/30)))</f>
        <v/>
      </c>
      <c r="I1058" s="15" t="str">
        <f aca="false">IF(OR(D1058="",F1058="",G1058=""),"",IF(F1058+MAX(0,10-G1058)&lt;=1,D1058,D1058*(1+(F1058+MAX(0,10-G1058))/30)))</f>
        <v/>
      </c>
      <c r="J1058" s="16" t="str">
        <f aca="false">IF(A1058="","",IF(AND(C1058="yes",N(G1058)&gt;=7),N(E1058),0))</f>
        <v/>
      </c>
      <c r="K1058" s="17" t="str">
        <f aca="false">IF(A1058="","",A1058-WEEKDAY(A1058,3))</f>
        <v/>
      </c>
      <c r="L1058" s="11"/>
    </row>
    <row r="1059" customFormat="false" ht="15" hidden="false" customHeight="false" outlineLevel="0" collapsed="false">
      <c r="A1059" s="10"/>
      <c r="B1059" s="11"/>
      <c r="C1059" s="11"/>
      <c r="D1059" s="11"/>
      <c r="E1059" s="11"/>
      <c r="F1059" s="11"/>
      <c r="G1059" s="11"/>
      <c r="H1059" s="15" t="str">
        <f aca="false">IF(OR(D1059="",F1059=""),"",IF(F1059&lt;=1,D1059,D1059*(1+F1059/30)))</f>
        <v/>
      </c>
      <c r="I1059" s="15" t="str">
        <f aca="false">IF(OR(D1059="",F1059="",G1059=""),"",IF(F1059+MAX(0,10-G1059)&lt;=1,D1059,D1059*(1+(F1059+MAX(0,10-G1059))/30)))</f>
        <v/>
      </c>
      <c r="J1059" s="16" t="str">
        <f aca="false">IF(A1059="","",IF(AND(C1059="yes",N(G1059)&gt;=7),N(E1059),0))</f>
        <v/>
      </c>
      <c r="K1059" s="17" t="str">
        <f aca="false">IF(A1059="","",A1059-WEEKDAY(A1059,3))</f>
        <v/>
      </c>
      <c r="L1059" s="11"/>
    </row>
    <row r="1060" customFormat="false" ht="15" hidden="false" customHeight="false" outlineLevel="0" collapsed="false">
      <c r="A1060" s="10"/>
      <c r="B1060" s="11"/>
      <c r="C1060" s="11"/>
      <c r="D1060" s="11"/>
      <c r="E1060" s="11"/>
      <c r="F1060" s="11"/>
      <c r="G1060" s="11"/>
      <c r="H1060" s="15" t="str">
        <f aca="false">IF(OR(D1060="",F1060=""),"",IF(F1060&lt;=1,D1060,D1060*(1+F1060/30)))</f>
        <v/>
      </c>
      <c r="I1060" s="15" t="str">
        <f aca="false">IF(OR(D1060="",F1060="",G1060=""),"",IF(F1060+MAX(0,10-G1060)&lt;=1,D1060,D1060*(1+(F1060+MAX(0,10-G1060))/30)))</f>
        <v/>
      </c>
      <c r="J1060" s="16" t="str">
        <f aca="false">IF(A1060="","",IF(AND(C1060="yes",N(G1060)&gt;=7),N(E1060),0))</f>
        <v/>
      </c>
      <c r="K1060" s="17" t="str">
        <f aca="false">IF(A1060="","",A1060-WEEKDAY(A1060,3))</f>
        <v/>
      </c>
      <c r="L1060" s="11"/>
    </row>
    <row r="1061" customFormat="false" ht="15" hidden="false" customHeight="false" outlineLevel="0" collapsed="false">
      <c r="A1061" s="10"/>
      <c r="B1061" s="11"/>
      <c r="C1061" s="11"/>
      <c r="D1061" s="11"/>
      <c r="E1061" s="11"/>
      <c r="F1061" s="11"/>
      <c r="G1061" s="11"/>
      <c r="H1061" s="15" t="str">
        <f aca="false">IF(OR(D1061="",F1061=""),"",IF(F1061&lt;=1,D1061,D1061*(1+F1061/30)))</f>
        <v/>
      </c>
      <c r="I1061" s="15" t="str">
        <f aca="false">IF(OR(D1061="",F1061="",G1061=""),"",IF(F1061+MAX(0,10-G1061)&lt;=1,D1061,D1061*(1+(F1061+MAX(0,10-G1061))/30)))</f>
        <v/>
      </c>
      <c r="J1061" s="16" t="str">
        <f aca="false">IF(A1061="","",IF(AND(C1061="yes",N(G1061)&gt;=7),N(E1061),0))</f>
        <v/>
      </c>
      <c r="K1061" s="17" t="str">
        <f aca="false">IF(A1061="","",A1061-WEEKDAY(A1061,3))</f>
        <v/>
      </c>
      <c r="L1061" s="11"/>
    </row>
    <row r="1062" customFormat="false" ht="15" hidden="false" customHeight="false" outlineLevel="0" collapsed="false">
      <c r="A1062" s="10"/>
      <c r="B1062" s="11"/>
      <c r="C1062" s="11"/>
      <c r="D1062" s="11"/>
      <c r="E1062" s="11"/>
      <c r="F1062" s="11"/>
      <c r="G1062" s="11"/>
      <c r="H1062" s="15" t="str">
        <f aca="false">IF(OR(D1062="",F1062=""),"",IF(F1062&lt;=1,D1062,D1062*(1+F1062/30)))</f>
        <v/>
      </c>
      <c r="I1062" s="15" t="str">
        <f aca="false">IF(OR(D1062="",F1062="",G1062=""),"",IF(F1062+MAX(0,10-G1062)&lt;=1,D1062,D1062*(1+(F1062+MAX(0,10-G1062))/30)))</f>
        <v/>
      </c>
      <c r="J1062" s="16" t="str">
        <f aca="false">IF(A1062="","",IF(AND(C1062="yes",N(G1062)&gt;=7),N(E1062),0))</f>
        <v/>
      </c>
      <c r="K1062" s="17" t="str">
        <f aca="false">IF(A1062="","",A1062-WEEKDAY(A1062,3))</f>
        <v/>
      </c>
      <c r="L1062" s="11"/>
    </row>
    <row r="1063" customFormat="false" ht="15" hidden="false" customHeight="false" outlineLevel="0" collapsed="false">
      <c r="A1063" s="10"/>
      <c r="B1063" s="11"/>
      <c r="C1063" s="11"/>
      <c r="D1063" s="11"/>
      <c r="E1063" s="11"/>
      <c r="F1063" s="11"/>
      <c r="G1063" s="11"/>
      <c r="H1063" s="15" t="str">
        <f aca="false">IF(OR(D1063="",F1063=""),"",IF(F1063&lt;=1,D1063,D1063*(1+F1063/30)))</f>
        <v/>
      </c>
      <c r="I1063" s="15" t="str">
        <f aca="false">IF(OR(D1063="",F1063="",G1063=""),"",IF(F1063+MAX(0,10-G1063)&lt;=1,D1063,D1063*(1+(F1063+MAX(0,10-G1063))/30)))</f>
        <v/>
      </c>
      <c r="J1063" s="16" t="str">
        <f aca="false">IF(A1063="","",IF(AND(C1063="yes",N(G1063)&gt;=7),N(E1063),0))</f>
        <v/>
      </c>
      <c r="K1063" s="17" t="str">
        <f aca="false">IF(A1063="","",A1063-WEEKDAY(A1063,3))</f>
        <v/>
      </c>
      <c r="L1063" s="11"/>
    </row>
    <row r="1064" customFormat="false" ht="15" hidden="false" customHeight="false" outlineLevel="0" collapsed="false">
      <c r="A1064" s="10"/>
      <c r="B1064" s="11"/>
      <c r="C1064" s="11"/>
      <c r="D1064" s="11"/>
      <c r="E1064" s="11"/>
      <c r="F1064" s="11"/>
      <c r="G1064" s="11"/>
      <c r="H1064" s="15" t="str">
        <f aca="false">IF(OR(D1064="",F1064=""),"",IF(F1064&lt;=1,D1064,D1064*(1+F1064/30)))</f>
        <v/>
      </c>
      <c r="I1064" s="15" t="str">
        <f aca="false">IF(OR(D1064="",F1064="",G1064=""),"",IF(F1064+MAX(0,10-G1064)&lt;=1,D1064,D1064*(1+(F1064+MAX(0,10-G1064))/30)))</f>
        <v/>
      </c>
      <c r="J1064" s="16" t="str">
        <f aca="false">IF(A1064="","",IF(AND(C1064="yes",N(G1064)&gt;=7),N(E1064),0))</f>
        <v/>
      </c>
      <c r="K1064" s="17" t="str">
        <f aca="false">IF(A1064="","",A1064-WEEKDAY(A1064,3))</f>
        <v/>
      </c>
      <c r="L1064" s="11"/>
    </row>
    <row r="1065" customFormat="false" ht="15" hidden="false" customHeight="false" outlineLevel="0" collapsed="false">
      <c r="A1065" s="10"/>
      <c r="B1065" s="11"/>
      <c r="C1065" s="11"/>
      <c r="D1065" s="11"/>
      <c r="E1065" s="11"/>
      <c r="F1065" s="11"/>
      <c r="G1065" s="11"/>
      <c r="H1065" s="15" t="str">
        <f aca="false">IF(OR(D1065="",F1065=""),"",IF(F1065&lt;=1,D1065,D1065*(1+F1065/30)))</f>
        <v/>
      </c>
      <c r="I1065" s="15" t="str">
        <f aca="false">IF(OR(D1065="",F1065="",G1065=""),"",IF(F1065+MAX(0,10-G1065)&lt;=1,D1065,D1065*(1+(F1065+MAX(0,10-G1065))/30)))</f>
        <v/>
      </c>
      <c r="J1065" s="16" t="str">
        <f aca="false">IF(A1065="","",IF(AND(C1065="yes",N(G1065)&gt;=7),N(E1065),0))</f>
        <v/>
      </c>
      <c r="K1065" s="17" t="str">
        <f aca="false">IF(A1065="","",A1065-WEEKDAY(A1065,3))</f>
        <v/>
      </c>
      <c r="L1065" s="11"/>
    </row>
    <row r="1066" customFormat="false" ht="15" hidden="false" customHeight="false" outlineLevel="0" collapsed="false">
      <c r="A1066" s="10"/>
      <c r="B1066" s="11"/>
      <c r="C1066" s="11"/>
      <c r="D1066" s="11"/>
      <c r="E1066" s="11"/>
      <c r="F1066" s="11"/>
      <c r="G1066" s="11"/>
      <c r="H1066" s="15" t="str">
        <f aca="false">IF(OR(D1066="",F1066=""),"",IF(F1066&lt;=1,D1066,D1066*(1+F1066/30)))</f>
        <v/>
      </c>
      <c r="I1066" s="15" t="str">
        <f aca="false">IF(OR(D1066="",F1066="",G1066=""),"",IF(F1066+MAX(0,10-G1066)&lt;=1,D1066,D1066*(1+(F1066+MAX(0,10-G1066))/30)))</f>
        <v/>
      </c>
      <c r="J1066" s="16" t="str">
        <f aca="false">IF(A1066="","",IF(AND(C1066="yes",N(G1066)&gt;=7),N(E1066),0))</f>
        <v/>
      </c>
      <c r="K1066" s="17" t="str">
        <f aca="false">IF(A1066="","",A1066-WEEKDAY(A1066,3))</f>
        <v/>
      </c>
      <c r="L1066" s="11"/>
    </row>
    <row r="1067" customFormat="false" ht="15" hidden="false" customHeight="false" outlineLevel="0" collapsed="false">
      <c r="A1067" s="10"/>
      <c r="B1067" s="11"/>
      <c r="C1067" s="11"/>
      <c r="D1067" s="11"/>
      <c r="E1067" s="11"/>
      <c r="F1067" s="11"/>
      <c r="G1067" s="11"/>
      <c r="H1067" s="15" t="str">
        <f aca="false">IF(OR(D1067="",F1067=""),"",IF(F1067&lt;=1,D1067,D1067*(1+F1067/30)))</f>
        <v/>
      </c>
      <c r="I1067" s="15" t="str">
        <f aca="false">IF(OR(D1067="",F1067="",G1067=""),"",IF(F1067+MAX(0,10-G1067)&lt;=1,D1067,D1067*(1+(F1067+MAX(0,10-G1067))/30)))</f>
        <v/>
      </c>
      <c r="J1067" s="16" t="str">
        <f aca="false">IF(A1067="","",IF(AND(C1067="yes",N(G1067)&gt;=7),N(E1067),0))</f>
        <v/>
      </c>
      <c r="K1067" s="17" t="str">
        <f aca="false">IF(A1067="","",A1067-WEEKDAY(A1067,3))</f>
        <v/>
      </c>
      <c r="L1067" s="11"/>
    </row>
    <row r="1068" customFormat="false" ht="15" hidden="false" customHeight="false" outlineLevel="0" collapsed="false">
      <c r="A1068" s="10"/>
      <c r="B1068" s="11"/>
      <c r="C1068" s="11"/>
      <c r="D1068" s="11"/>
      <c r="E1068" s="11"/>
      <c r="F1068" s="11"/>
      <c r="G1068" s="11"/>
      <c r="H1068" s="15" t="str">
        <f aca="false">IF(OR(D1068="",F1068=""),"",IF(F1068&lt;=1,D1068,D1068*(1+F1068/30)))</f>
        <v/>
      </c>
      <c r="I1068" s="15" t="str">
        <f aca="false">IF(OR(D1068="",F1068="",G1068=""),"",IF(F1068+MAX(0,10-G1068)&lt;=1,D1068,D1068*(1+(F1068+MAX(0,10-G1068))/30)))</f>
        <v/>
      </c>
      <c r="J1068" s="16" t="str">
        <f aca="false">IF(A1068="","",IF(AND(C1068="yes",N(G1068)&gt;=7),N(E1068),0))</f>
        <v/>
      </c>
      <c r="K1068" s="17" t="str">
        <f aca="false">IF(A1068="","",A1068-WEEKDAY(A1068,3))</f>
        <v/>
      </c>
      <c r="L1068" s="11"/>
    </row>
    <row r="1069" customFormat="false" ht="15" hidden="false" customHeight="false" outlineLevel="0" collapsed="false">
      <c r="A1069" s="10"/>
      <c r="B1069" s="11"/>
      <c r="C1069" s="11"/>
      <c r="D1069" s="11"/>
      <c r="E1069" s="11"/>
      <c r="F1069" s="11"/>
      <c r="G1069" s="11"/>
      <c r="H1069" s="15" t="str">
        <f aca="false">IF(OR(D1069="",F1069=""),"",IF(F1069&lt;=1,D1069,D1069*(1+F1069/30)))</f>
        <v/>
      </c>
      <c r="I1069" s="15" t="str">
        <f aca="false">IF(OR(D1069="",F1069="",G1069=""),"",IF(F1069+MAX(0,10-G1069)&lt;=1,D1069,D1069*(1+(F1069+MAX(0,10-G1069))/30)))</f>
        <v/>
      </c>
      <c r="J1069" s="16" t="str">
        <f aca="false">IF(A1069="","",IF(AND(C1069="yes",N(G1069)&gt;=7),N(E1069),0))</f>
        <v/>
      </c>
      <c r="K1069" s="17" t="str">
        <f aca="false">IF(A1069="","",A1069-WEEKDAY(A1069,3))</f>
        <v/>
      </c>
      <c r="L1069" s="11"/>
    </row>
    <row r="1070" customFormat="false" ht="15" hidden="false" customHeight="false" outlineLevel="0" collapsed="false">
      <c r="A1070" s="10"/>
      <c r="B1070" s="11"/>
      <c r="C1070" s="11"/>
      <c r="D1070" s="11"/>
      <c r="E1070" s="11"/>
      <c r="F1070" s="11"/>
      <c r="G1070" s="11"/>
      <c r="H1070" s="15" t="str">
        <f aca="false">IF(OR(D1070="",F1070=""),"",IF(F1070&lt;=1,D1070,D1070*(1+F1070/30)))</f>
        <v/>
      </c>
      <c r="I1070" s="15" t="str">
        <f aca="false">IF(OR(D1070="",F1070="",G1070=""),"",IF(F1070+MAX(0,10-G1070)&lt;=1,D1070,D1070*(1+(F1070+MAX(0,10-G1070))/30)))</f>
        <v/>
      </c>
      <c r="J1070" s="16" t="str">
        <f aca="false">IF(A1070="","",IF(AND(C1070="yes",N(G1070)&gt;=7),N(E1070),0))</f>
        <v/>
      </c>
      <c r="K1070" s="17" t="str">
        <f aca="false">IF(A1070="","",A1070-WEEKDAY(A1070,3))</f>
        <v/>
      </c>
      <c r="L1070" s="11"/>
    </row>
    <row r="1071" customFormat="false" ht="15" hidden="false" customHeight="false" outlineLevel="0" collapsed="false">
      <c r="A1071" s="10"/>
      <c r="B1071" s="11"/>
      <c r="C1071" s="11"/>
      <c r="D1071" s="11"/>
      <c r="E1071" s="11"/>
      <c r="F1071" s="11"/>
      <c r="G1071" s="11"/>
      <c r="H1071" s="15" t="str">
        <f aca="false">IF(OR(D1071="",F1071=""),"",IF(F1071&lt;=1,D1071,D1071*(1+F1071/30)))</f>
        <v/>
      </c>
      <c r="I1071" s="15" t="str">
        <f aca="false">IF(OR(D1071="",F1071="",G1071=""),"",IF(F1071+MAX(0,10-G1071)&lt;=1,D1071,D1071*(1+(F1071+MAX(0,10-G1071))/30)))</f>
        <v/>
      </c>
      <c r="J1071" s="16" t="str">
        <f aca="false">IF(A1071="","",IF(AND(C1071="yes",N(G1071)&gt;=7),N(E1071),0))</f>
        <v/>
      </c>
      <c r="K1071" s="17" t="str">
        <f aca="false">IF(A1071="","",A1071-WEEKDAY(A1071,3))</f>
        <v/>
      </c>
      <c r="L1071" s="11"/>
    </row>
    <row r="1072" customFormat="false" ht="15" hidden="false" customHeight="false" outlineLevel="0" collapsed="false">
      <c r="A1072" s="10"/>
      <c r="B1072" s="11"/>
      <c r="C1072" s="11"/>
      <c r="D1072" s="11"/>
      <c r="E1072" s="11"/>
      <c r="F1072" s="11"/>
      <c r="G1072" s="11"/>
      <c r="H1072" s="15" t="str">
        <f aca="false">IF(OR(D1072="",F1072=""),"",IF(F1072&lt;=1,D1072,D1072*(1+F1072/30)))</f>
        <v/>
      </c>
      <c r="I1072" s="15" t="str">
        <f aca="false">IF(OR(D1072="",F1072="",G1072=""),"",IF(F1072+MAX(0,10-G1072)&lt;=1,D1072,D1072*(1+(F1072+MAX(0,10-G1072))/30)))</f>
        <v/>
      </c>
      <c r="J1072" s="16" t="str">
        <f aca="false">IF(A1072="","",IF(AND(C1072="yes",N(G1072)&gt;=7),N(E1072),0))</f>
        <v/>
      </c>
      <c r="K1072" s="17" t="str">
        <f aca="false">IF(A1072="","",A1072-WEEKDAY(A1072,3))</f>
        <v/>
      </c>
      <c r="L1072" s="11"/>
    </row>
    <row r="1073" customFormat="false" ht="15" hidden="false" customHeight="false" outlineLevel="0" collapsed="false">
      <c r="A1073" s="10"/>
      <c r="B1073" s="11"/>
      <c r="C1073" s="11"/>
      <c r="D1073" s="11"/>
      <c r="E1073" s="11"/>
      <c r="F1073" s="11"/>
      <c r="G1073" s="11"/>
      <c r="H1073" s="15" t="str">
        <f aca="false">IF(OR(D1073="",F1073=""),"",IF(F1073&lt;=1,D1073,D1073*(1+F1073/30)))</f>
        <v/>
      </c>
      <c r="I1073" s="15" t="str">
        <f aca="false">IF(OR(D1073="",F1073="",G1073=""),"",IF(F1073+MAX(0,10-G1073)&lt;=1,D1073,D1073*(1+(F1073+MAX(0,10-G1073))/30)))</f>
        <v/>
      </c>
      <c r="J1073" s="16" t="str">
        <f aca="false">IF(A1073="","",IF(AND(C1073="yes",N(G1073)&gt;=7),N(E1073),0))</f>
        <v/>
      </c>
      <c r="K1073" s="17" t="str">
        <f aca="false">IF(A1073="","",A1073-WEEKDAY(A1073,3))</f>
        <v/>
      </c>
      <c r="L1073" s="11"/>
    </row>
    <row r="1074" customFormat="false" ht="15" hidden="false" customHeight="false" outlineLevel="0" collapsed="false">
      <c r="A1074" s="10"/>
      <c r="B1074" s="11"/>
      <c r="C1074" s="11"/>
      <c r="D1074" s="11"/>
      <c r="E1074" s="11"/>
      <c r="F1074" s="11"/>
      <c r="G1074" s="11"/>
      <c r="H1074" s="15" t="str">
        <f aca="false">IF(OR(D1074="",F1074=""),"",IF(F1074&lt;=1,D1074,D1074*(1+F1074/30)))</f>
        <v/>
      </c>
      <c r="I1074" s="15" t="str">
        <f aca="false">IF(OR(D1074="",F1074="",G1074=""),"",IF(F1074+MAX(0,10-G1074)&lt;=1,D1074,D1074*(1+(F1074+MAX(0,10-G1074))/30)))</f>
        <v/>
      </c>
      <c r="J1074" s="16" t="str">
        <f aca="false">IF(A1074="","",IF(AND(C1074="yes",N(G1074)&gt;=7),N(E1074),0))</f>
        <v/>
      </c>
      <c r="K1074" s="17" t="str">
        <f aca="false">IF(A1074="","",A1074-WEEKDAY(A1074,3))</f>
        <v/>
      </c>
      <c r="L1074" s="11"/>
    </row>
    <row r="1075" customFormat="false" ht="15" hidden="false" customHeight="false" outlineLevel="0" collapsed="false">
      <c r="A1075" s="10"/>
      <c r="B1075" s="11"/>
      <c r="C1075" s="11"/>
      <c r="D1075" s="11"/>
      <c r="E1075" s="11"/>
      <c r="F1075" s="11"/>
      <c r="G1075" s="11"/>
      <c r="H1075" s="15" t="str">
        <f aca="false">IF(OR(D1075="",F1075=""),"",IF(F1075&lt;=1,D1075,D1075*(1+F1075/30)))</f>
        <v/>
      </c>
      <c r="I1075" s="15" t="str">
        <f aca="false">IF(OR(D1075="",F1075="",G1075=""),"",IF(F1075+MAX(0,10-G1075)&lt;=1,D1075,D1075*(1+(F1075+MAX(0,10-G1075))/30)))</f>
        <v/>
      </c>
      <c r="J1075" s="16" t="str">
        <f aca="false">IF(A1075="","",IF(AND(C1075="yes",N(G1075)&gt;=7),N(E1075),0))</f>
        <v/>
      </c>
      <c r="K1075" s="17" t="str">
        <f aca="false">IF(A1075="","",A1075-WEEKDAY(A1075,3))</f>
        <v/>
      </c>
      <c r="L1075" s="11"/>
    </row>
    <row r="1076" customFormat="false" ht="15" hidden="false" customHeight="false" outlineLevel="0" collapsed="false">
      <c r="A1076" s="10"/>
      <c r="B1076" s="11"/>
      <c r="C1076" s="11"/>
      <c r="D1076" s="11"/>
      <c r="E1076" s="11"/>
      <c r="F1076" s="11"/>
      <c r="G1076" s="11"/>
      <c r="H1076" s="15" t="str">
        <f aca="false">IF(OR(D1076="",F1076=""),"",IF(F1076&lt;=1,D1076,D1076*(1+F1076/30)))</f>
        <v/>
      </c>
      <c r="I1076" s="15" t="str">
        <f aca="false">IF(OR(D1076="",F1076="",G1076=""),"",IF(F1076+MAX(0,10-G1076)&lt;=1,D1076,D1076*(1+(F1076+MAX(0,10-G1076))/30)))</f>
        <v/>
      </c>
      <c r="J1076" s="16" t="str">
        <f aca="false">IF(A1076="","",IF(AND(C1076="yes",N(G1076)&gt;=7),N(E1076),0))</f>
        <v/>
      </c>
      <c r="K1076" s="17" t="str">
        <f aca="false">IF(A1076="","",A1076-WEEKDAY(A1076,3))</f>
        <v/>
      </c>
      <c r="L1076" s="11"/>
    </row>
    <row r="1077" customFormat="false" ht="15" hidden="false" customHeight="false" outlineLevel="0" collapsed="false">
      <c r="A1077" s="10"/>
      <c r="B1077" s="11"/>
      <c r="C1077" s="11"/>
      <c r="D1077" s="11"/>
      <c r="E1077" s="11"/>
      <c r="F1077" s="11"/>
      <c r="G1077" s="11"/>
      <c r="H1077" s="15" t="str">
        <f aca="false">IF(OR(D1077="",F1077=""),"",IF(F1077&lt;=1,D1077,D1077*(1+F1077/30)))</f>
        <v/>
      </c>
      <c r="I1077" s="15" t="str">
        <f aca="false">IF(OR(D1077="",F1077="",G1077=""),"",IF(F1077+MAX(0,10-G1077)&lt;=1,D1077,D1077*(1+(F1077+MAX(0,10-G1077))/30)))</f>
        <v/>
      </c>
      <c r="J1077" s="16" t="str">
        <f aca="false">IF(A1077="","",IF(AND(C1077="yes",N(G1077)&gt;=7),N(E1077),0))</f>
        <v/>
      </c>
      <c r="K1077" s="17" t="str">
        <f aca="false">IF(A1077="","",A1077-WEEKDAY(A1077,3))</f>
        <v/>
      </c>
      <c r="L1077" s="11"/>
    </row>
    <row r="1078" customFormat="false" ht="15" hidden="false" customHeight="false" outlineLevel="0" collapsed="false">
      <c r="A1078" s="10"/>
      <c r="B1078" s="11"/>
      <c r="C1078" s="11"/>
      <c r="D1078" s="11"/>
      <c r="E1078" s="11"/>
      <c r="F1078" s="11"/>
      <c r="G1078" s="11"/>
      <c r="H1078" s="15" t="str">
        <f aca="false">IF(OR(D1078="",F1078=""),"",IF(F1078&lt;=1,D1078,D1078*(1+F1078/30)))</f>
        <v/>
      </c>
      <c r="I1078" s="15" t="str">
        <f aca="false">IF(OR(D1078="",F1078="",G1078=""),"",IF(F1078+MAX(0,10-G1078)&lt;=1,D1078,D1078*(1+(F1078+MAX(0,10-G1078))/30)))</f>
        <v/>
      </c>
      <c r="J1078" s="16" t="str">
        <f aca="false">IF(A1078="","",IF(AND(C1078="yes",N(G1078)&gt;=7),N(E1078),0))</f>
        <v/>
      </c>
      <c r="K1078" s="17" t="str">
        <f aca="false">IF(A1078="","",A1078-WEEKDAY(A1078,3))</f>
        <v/>
      </c>
      <c r="L1078" s="11"/>
    </row>
    <row r="1079" customFormat="false" ht="15" hidden="false" customHeight="false" outlineLevel="0" collapsed="false">
      <c r="A1079" s="10"/>
      <c r="B1079" s="11"/>
      <c r="C1079" s="11"/>
      <c r="D1079" s="11"/>
      <c r="E1079" s="11"/>
      <c r="F1079" s="11"/>
      <c r="G1079" s="11"/>
      <c r="H1079" s="15" t="str">
        <f aca="false">IF(OR(D1079="",F1079=""),"",IF(F1079&lt;=1,D1079,D1079*(1+F1079/30)))</f>
        <v/>
      </c>
      <c r="I1079" s="15" t="str">
        <f aca="false">IF(OR(D1079="",F1079="",G1079=""),"",IF(F1079+MAX(0,10-G1079)&lt;=1,D1079,D1079*(1+(F1079+MAX(0,10-G1079))/30)))</f>
        <v/>
      </c>
      <c r="J1079" s="16" t="str">
        <f aca="false">IF(A1079="","",IF(AND(C1079="yes",N(G1079)&gt;=7),N(E1079),0))</f>
        <v/>
      </c>
      <c r="K1079" s="17" t="str">
        <f aca="false">IF(A1079="","",A1079-WEEKDAY(A1079,3))</f>
        <v/>
      </c>
      <c r="L1079" s="11"/>
    </row>
    <row r="1080" customFormat="false" ht="15" hidden="false" customHeight="false" outlineLevel="0" collapsed="false">
      <c r="A1080" s="10"/>
      <c r="B1080" s="11"/>
      <c r="C1080" s="11"/>
      <c r="D1080" s="11"/>
      <c r="E1080" s="11"/>
      <c r="F1080" s="11"/>
      <c r="G1080" s="11"/>
      <c r="H1080" s="15" t="str">
        <f aca="false">IF(OR(D1080="",F1080=""),"",IF(F1080&lt;=1,D1080,D1080*(1+F1080/30)))</f>
        <v/>
      </c>
      <c r="I1080" s="15" t="str">
        <f aca="false">IF(OR(D1080="",F1080="",G1080=""),"",IF(F1080+MAX(0,10-G1080)&lt;=1,D1080,D1080*(1+(F1080+MAX(0,10-G1080))/30)))</f>
        <v/>
      </c>
      <c r="J1080" s="16" t="str">
        <f aca="false">IF(A1080="","",IF(AND(C1080="yes",N(G1080)&gt;=7),N(E1080),0))</f>
        <v/>
      </c>
      <c r="K1080" s="17" t="str">
        <f aca="false">IF(A1080="","",A1080-WEEKDAY(A1080,3))</f>
        <v/>
      </c>
      <c r="L1080" s="11"/>
    </row>
    <row r="1081" customFormat="false" ht="15" hidden="false" customHeight="false" outlineLevel="0" collapsed="false">
      <c r="A1081" s="10"/>
      <c r="B1081" s="11"/>
      <c r="C1081" s="11"/>
      <c r="D1081" s="11"/>
      <c r="E1081" s="11"/>
      <c r="F1081" s="11"/>
      <c r="G1081" s="11"/>
      <c r="H1081" s="15" t="str">
        <f aca="false">IF(OR(D1081="",F1081=""),"",IF(F1081&lt;=1,D1081,D1081*(1+F1081/30)))</f>
        <v/>
      </c>
      <c r="I1081" s="15" t="str">
        <f aca="false">IF(OR(D1081="",F1081="",G1081=""),"",IF(F1081+MAX(0,10-G1081)&lt;=1,D1081,D1081*(1+(F1081+MAX(0,10-G1081))/30)))</f>
        <v/>
      </c>
      <c r="J1081" s="16" t="str">
        <f aca="false">IF(A1081="","",IF(AND(C1081="yes",N(G1081)&gt;=7),N(E1081),0))</f>
        <v/>
      </c>
      <c r="K1081" s="17" t="str">
        <f aca="false">IF(A1081="","",A1081-WEEKDAY(A1081,3))</f>
        <v/>
      </c>
      <c r="L1081" s="11"/>
    </row>
    <row r="1082" customFormat="false" ht="15" hidden="false" customHeight="false" outlineLevel="0" collapsed="false">
      <c r="A1082" s="10"/>
      <c r="B1082" s="11"/>
      <c r="C1082" s="11"/>
      <c r="D1082" s="11"/>
      <c r="E1082" s="11"/>
      <c r="F1082" s="11"/>
      <c r="G1082" s="11"/>
      <c r="H1082" s="15" t="str">
        <f aca="false">IF(OR(D1082="",F1082=""),"",IF(F1082&lt;=1,D1082,D1082*(1+F1082/30)))</f>
        <v/>
      </c>
      <c r="I1082" s="15" t="str">
        <f aca="false">IF(OR(D1082="",F1082="",G1082=""),"",IF(F1082+MAX(0,10-G1082)&lt;=1,D1082,D1082*(1+(F1082+MAX(0,10-G1082))/30)))</f>
        <v/>
      </c>
      <c r="J1082" s="16" t="str">
        <f aca="false">IF(A1082="","",IF(AND(C1082="yes",N(G1082)&gt;=7),N(E1082),0))</f>
        <v/>
      </c>
      <c r="K1082" s="17" t="str">
        <f aca="false">IF(A1082="","",A1082-WEEKDAY(A1082,3))</f>
        <v/>
      </c>
      <c r="L1082" s="11"/>
    </row>
    <row r="1083" customFormat="false" ht="15" hidden="false" customHeight="false" outlineLevel="0" collapsed="false">
      <c r="A1083" s="10"/>
      <c r="B1083" s="11"/>
      <c r="C1083" s="11"/>
      <c r="D1083" s="11"/>
      <c r="E1083" s="11"/>
      <c r="F1083" s="11"/>
      <c r="G1083" s="11"/>
      <c r="H1083" s="15" t="str">
        <f aca="false">IF(OR(D1083="",F1083=""),"",IF(F1083&lt;=1,D1083,D1083*(1+F1083/30)))</f>
        <v/>
      </c>
      <c r="I1083" s="15" t="str">
        <f aca="false">IF(OR(D1083="",F1083="",G1083=""),"",IF(F1083+MAX(0,10-G1083)&lt;=1,D1083,D1083*(1+(F1083+MAX(0,10-G1083))/30)))</f>
        <v/>
      </c>
      <c r="J1083" s="16" t="str">
        <f aca="false">IF(A1083="","",IF(AND(C1083="yes",N(G1083)&gt;=7),N(E1083),0))</f>
        <v/>
      </c>
      <c r="K1083" s="17" t="str">
        <f aca="false">IF(A1083="","",A1083-WEEKDAY(A1083,3))</f>
        <v/>
      </c>
      <c r="L1083" s="11"/>
    </row>
    <row r="1084" customFormat="false" ht="15" hidden="false" customHeight="false" outlineLevel="0" collapsed="false">
      <c r="A1084" s="10"/>
      <c r="B1084" s="11"/>
      <c r="C1084" s="11"/>
      <c r="D1084" s="11"/>
      <c r="E1084" s="11"/>
      <c r="F1084" s="11"/>
      <c r="G1084" s="11"/>
      <c r="H1084" s="15" t="str">
        <f aca="false">IF(OR(D1084="",F1084=""),"",IF(F1084&lt;=1,D1084,D1084*(1+F1084/30)))</f>
        <v/>
      </c>
      <c r="I1084" s="15" t="str">
        <f aca="false">IF(OR(D1084="",F1084="",G1084=""),"",IF(F1084+MAX(0,10-G1084)&lt;=1,D1084,D1084*(1+(F1084+MAX(0,10-G1084))/30)))</f>
        <v/>
      </c>
      <c r="J1084" s="16" t="str">
        <f aca="false">IF(A1084="","",IF(AND(C1084="yes",N(G1084)&gt;=7),N(E1084),0))</f>
        <v/>
      </c>
      <c r="K1084" s="17" t="str">
        <f aca="false">IF(A1084="","",A1084-WEEKDAY(A1084,3))</f>
        <v/>
      </c>
      <c r="L1084" s="11"/>
    </row>
    <row r="1085" customFormat="false" ht="15" hidden="false" customHeight="false" outlineLevel="0" collapsed="false">
      <c r="A1085" s="10"/>
      <c r="B1085" s="11"/>
      <c r="C1085" s="11"/>
      <c r="D1085" s="11"/>
      <c r="E1085" s="11"/>
      <c r="F1085" s="11"/>
      <c r="G1085" s="11"/>
      <c r="H1085" s="15" t="str">
        <f aca="false">IF(OR(D1085="",F1085=""),"",IF(F1085&lt;=1,D1085,D1085*(1+F1085/30)))</f>
        <v/>
      </c>
      <c r="I1085" s="15" t="str">
        <f aca="false">IF(OR(D1085="",F1085="",G1085=""),"",IF(F1085+MAX(0,10-G1085)&lt;=1,D1085,D1085*(1+(F1085+MAX(0,10-G1085))/30)))</f>
        <v/>
      </c>
      <c r="J1085" s="16" t="str">
        <f aca="false">IF(A1085="","",IF(AND(C1085="yes",N(G1085)&gt;=7),N(E1085),0))</f>
        <v/>
      </c>
      <c r="K1085" s="17" t="str">
        <f aca="false">IF(A1085="","",A1085-WEEKDAY(A1085,3))</f>
        <v/>
      </c>
      <c r="L1085" s="11"/>
    </row>
    <row r="1086" customFormat="false" ht="15" hidden="false" customHeight="false" outlineLevel="0" collapsed="false">
      <c r="A1086" s="10"/>
      <c r="B1086" s="11"/>
      <c r="C1086" s="11"/>
      <c r="D1086" s="11"/>
      <c r="E1086" s="11"/>
      <c r="F1086" s="11"/>
      <c r="G1086" s="11"/>
      <c r="H1086" s="15" t="str">
        <f aca="false">IF(OR(D1086="",F1086=""),"",IF(F1086&lt;=1,D1086,D1086*(1+F1086/30)))</f>
        <v/>
      </c>
      <c r="I1086" s="15" t="str">
        <f aca="false">IF(OR(D1086="",F1086="",G1086=""),"",IF(F1086+MAX(0,10-G1086)&lt;=1,D1086,D1086*(1+(F1086+MAX(0,10-G1086))/30)))</f>
        <v/>
      </c>
      <c r="J1086" s="16" t="str">
        <f aca="false">IF(A1086="","",IF(AND(C1086="yes",N(G1086)&gt;=7),N(E1086),0))</f>
        <v/>
      </c>
      <c r="K1086" s="17" t="str">
        <f aca="false">IF(A1086="","",A1086-WEEKDAY(A1086,3))</f>
        <v/>
      </c>
      <c r="L1086" s="11"/>
    </row>
    <row r="1087" customFormat="false" ht="15" hidden="false" customHeight="false" outlineLevel="0" collapsed="false">
      <c r="A1087" s="10"/>
      <c r="B1087" s="11"/>
      <c r="C1087" s="11"/>
      <c r="D1087" s="11"/>
      <c r="E1087" s="11"/>
      <c r="F1087" s="11"/>
      <c r="G1087" s="11"/>
      <c r="H1087" s="15" t="str">
        <f aca="false">IF(OR(D1087="",F1087=""),"",IF(F1087&lt;=1,D1087,D1087*(1+F1087/30)))</f>
        <v/>
      </c>
      <c r="I1087" s="15" t="str">
        <f aca="false">IF(OR(D1087="",F1087="",G1087=""),"",IF(F1087+MAX(0,10-G1087)&lt;=1,D1087,D1087*(1+(F1087+MAX(0,10-G1087))/30)))</f>
        <v/>
      </c>
      <c r="J1087" s="16" t="str">
        <f aca="false">IF(A1087="","",IF(AND(C1087="yes",N(G1087)&gt;=7),N(E1087),0))</f>
        <v/>
      </c>
      <c r="K1087" s="17" t="str">
        <f aca="false">IF(A1087="","",A1087-WEEKDAY(A1087,3))</f>
        <v/>
      </c>
      <c r="L1087" s="11"/>
    </row>
    <row r="1088" customFormat="false" ht="15" hidden="false" customHeight="false" outlineLevel="0" collapsed="false">
      <c r="A1088" s="10"/>
      <c r="B1088" s="11"/>
      <c r="C1088" s="11"/>
      <c r="D1088" s="11"/>
      <c r="E1088" s="11"/>
      <c r="F1088" s="11"/>
      <c r="G1088" s="11"/>
      <c r="H1088" s="15" t="str">
        <f aca="false">IF(OR(D1088="",F1088=""),"",IF(F1088&lt;=1,D1088,D1088*(1+F1088/30)))</f>
        <v/>
      </c>
      <c r="I1088" s="15" t="str">
        <f aca="false">IF(OR(D1088="",F1088="",G1088=""),"",IF(F1088+MAX(0,10-G1088)&lt;=1,D1088,D1088*(1+(F1088+MAX(0,10-G1088))/30)))</f>
        <v/>
      </c>
      <c r="J1088" s="16" t="str">
        <f aca="false">IF(A1088="","",IF(AND(C1088="yes",N(G1088)&gt;=7),N(E1088),0))</f>
        <v/>
      </c>
      <c r="K1088" s="17" t="str">
        <f aca="false">IF(A1088="","",A1088-WEEKDAY(A1088,3))</f>
        <v/>
      </c>
      <c r="L1088" s="11"/>
    </row>
    <row r="1089" customFormat="false" ht="15" hidden="false" customHeight="false" outlineLevel="0" collapsed="false">
      <c r="A1089" s="10"/>
      <c r="B1089" s="11"/>
      <c r="C1089" s="11"/>
      <c r="D1089" s="11"/>
      <c r="E1089" s="11"/>
      <c r="F1089" s="11"/>
      <c r="G1089" s="11"/>
      <c r="H1089" s="15" t="str">
        <f aca="false">IF(OR(D1089="",F1089=""),"",IF(F1089&lt;=1,D1089,D1089*(1+F1089/30)))</f>
        <v/>
      </c>
      <c r="I1089" s="15" t="str">
        <f aca="false">IF(OR(D1089="",F1089="",G1089=""),"",IF(F1089+MAX(0,10-G1089)&lt;=1,D1089,D1089*(1+(F1089+MAX(0,10-G1089))/30)))</f>
        <v/>
      </c>
      <c r="J1089" s="16" t="str">
        <f aca="false">IF(A1089="","",IF(AND(C1089="yes",N(G1089)&gt;=7),N(E1089),0))</f>
        <v/>
      </c>
      <c r="K1089" s="17" t="str">
        <f aca="false">IF(A1089="","",A1089-WEEKDAY(A1089,3))</f>
        <v/>
      </c>
      <c r="L1089" s="11"/>
    </row>
    <row r="1090" customFormat="false" ht="15" hidden="false" customHeight="false" outlineLevel="0" collapsed="false">
      <c r="A1090" s="10"/>
      <c r="B1090" s="11"/>
      <c r="C1090" s="11"/>
      <c r="D1090" s="11"/>
      <c r="E1090" s="11"/>
      <c r="F1090" s="11"/>
      <c r="G1090" s="11"/>
      <c r="H1090" s="15" t="str">
        <f aca="false">IF(OR(D1090="",F1090=""),"",IF(F1090&lt;=1,D1090,D1090*(1+F1090/30)))</f>
        <v/>
      </c>
      <c r="I1090" s="15" t="str">
        <f aca="false">IF(OR(D1090="",F1090="",G1090=""),"",IF(F1090+MAX(0,10-G1090)&lt;=1,D1090,D1090*(1+(F1090+MAX(0,10-G1090))/30)))</f>
        <v/>
      </c>
      <c r="J1090" s="16" t="str">
        <f aca="false">IF(A1090="","",IF(AND(C1090="yes",N(G1090)&gt;=7),N(E1090),0))</f>
        <v/>
      </c>
      <c r="K1090" s="17" t="str">
        <f aca="false">IF(A1090="","",A1090-WEEKDAY(A1090,3))</f>
        <v/>
      </c>
      <c r="L1090" s="11"/>
    </row>
    <row r="1091" customFormat="false" ht="15" hidden="false" customHeight="false" outlineLevel="0" collapsed="false">
      <c r="A1091" s="10"/>
      <c r="B1091" s="11"/>
      <c r="C1091" s="11"/>
      <c r="D1091" s="11"/>
      <c r="E1091" s="11"/>
      <c r="F1091" s="11"/>
      <c r="G1091" s="11"/>
      <c r="H1091" s="15" t="str">
        <f aca="false">IF(OR(D1091="",F1091=""),"",IF(F1091&lt;=1,D1091,D1091*(1+F1091/30)))</f>
        <v/>
      </c>
      <c r="I1091" s="15" t="str">
        <f aca="false">IF(OR(D1091="",F1091="",G1091=""),"",IF(F1091+MAX(0,10-G1091)&lt;=1,D1091,D1091*(1+(F1091+MAX(0,10-G1091))/30)))</f>
        <v/>
      </c>
      <c r="J1091" s="16" t="str">
        <f aca="false">IF(A1091="","",IF(AND(C1091="yes",N(G1091)&gt;=7),N(E1091),0))</f>
        <v/>
      </c>
      <c r="K1091" s="17" t="str">
        <f aca="false">IF(A1091="","",A1091-WEEKDAY(A1091,3))</f>
        <v/>
      </c>
      <c r="L1091" s="11"/>
    </row>
    <row r="1092" customFormat="false" ht="15" hidden="false" customHeight="false" outlineLevel="0" collapsed="false">
      <c r="A1092" s="10"/>
      <c r="B1092" s="11"/>
      <c r="C1092" s="11"/>
      <c r="D1092" s="11"/>
      <c r="E1092" s="11"/>
      <c r="F1092" s="11"/>
      <c r="G1092" s="11"/>
      <c r="H1092" s="15" t="str">
        <f aca="false">IF(OR(D1092="",F1092=""),"",IF(F1092&lt;=1,D1092,D1092*(1+F1092/30)))</f>
        <v/>
      </c>
      <c r="I1092" s="15" t="str">
        <f aca="false">IF(OR(D1092="",F1092="",G1092=""),"",IF(F1092+MAX(0,10-G1092)&lt;=1,D1092,D1092*(1+(F1092+MAX(0,10-G1092))/30)))</f>
        <v/>
      </c>
      <c r="J1092" s="16" t="str">
        <f aca="false">IF(A1092="","",IF(AND(C1092="yes",N(G1092)&gt;=7),N(E1092),0))</f>
        <v/>
      </c>
      <c r="K1092" s="17" t="str">
        <f aca="false">IF(A1092="","",A1092-WEEKDAY(A1092,3))</f>
        <v/>
      </c>
      <c r="L1092" s="11"/>
    </row>
    <row r="1093" customFormat="false" ht="15" hidden="false" customHeight="false" outlineLevel="0" collapsed="false">
      <c r="A1093" s="10"/>
      <c r="B1093" s="11"/>
      <c r="C1093" s="11"/>
      <c r="D1093" s="11"/>
      <c r="E1093" s="11"/>
      <c r="F1093" s="11"/>
      <c r="G1093" s="11"/>
      <c r="H1093" s="15" t="str">
        <f aca="false">IF(OR(D1093="",F1093=""),"",IF(F1093&lt;=1,D1093,D1093*(1+F1093/30)))</f>
        <v/>
      </c>
      <c r="I1093" s="15" t="str">
        <f aca="false">IF(OR(D1093="",F1093="",G1093=""),"",IF(F1093+MAX(0,10-G1093)&lt;=1,D1093,D1093*(1+(F1093+MAX(0,10-G1093))/30)))</f>
        <v/>
      </c>
      <c r="J1093" s="16" t="str">
        <f aca="false">IF(A1093="","",IF(AND(C1093="yes",N(G1093)&gt;=7),N(E1093),0))</f>
        <v/>
      </c>
      <c r="K1093" s="17" t="str">
        <f aca="false">IF(A1093="","",A1093-WEEKDAY(A1093,3))</f>
        <v/>
      </c>
      <c r="L1093" s="11"/>
    </row>
    <row r="1094" customFormat="false" ht="15" hidden="false" customHeight="false" outlineLevel="0" collapsed="false">
      <c r="A1094" s="10"/>
      <c r="B1094" s="11"/>
      <c r="C1094" s="11"/>
      <c r="D1094" s="11"/>
      <c r="E1094" s="11"/>
      <c r="F1094" s="11"/>
      <c r="G1094" s="11"/>
      <c r="H1094" s="15" t="str">
        <f aca="false">IF(OR(D1094="",F1094=""),"",IF(F1094&lt;=1,D1094,D1094*(1+F1094/30)))</f>
        <v/>
      </c>
      <c r="I1094" s="15" t="str">
        <f aca="false">IF(OR(D1094="",F1094="",G1094=""),"",IF(F1094+MAX(0,10-G1094)&lt;=1,D1094,D1094*(1+(F1094+MAX(0,10-G1094))/30)))</f>
        <v/>
      </c>
      <c r="J1094" s="16" t="str">
        <f aca="false">IF(A1094="","",IF(AND(C1094="yes",N(G1094)&gt;=7),N(E1094),0))</f>
        <v/>
      </c>
      <c r="K1094" s="17" t="str">
        <f aca="false">IF(A1094="","",A1094-WEEKDAY(A1094,3))</f>
        <v/>
      </c>
      <c r="L1094" s="11"/>
    </row>
    <row r="1095" customFormat="false" ht="15" hidden="false" customHeight="false" outlineLevel="0" collapsed="false">
      <c r="A1095" s="10"/>
      <c r="B1095" s="11"/>
      <c r="C1095" s="11"/>
      <c r="D1095" s="11"/>
      <c r="E1095" s="11"/>
      <c r="F1095" s="11"/>
      <c r="G1095" s="11"/>
      <c r="H1095" s="15" t="str">
        <f aca="false">IF(OR(D1095="",F1095=""),"",IF(F1095&lt;=1,D1095,D1095*(1+F1095/30)))</f>
        <v/>
      </c>
      <c r="I1095" s="15" t="str">
        <f aca="false">IF(OR(D1095="",F1095="",G1095=""),"",IF(F1095+MAX(0,10-G1095)&lt;=1,D1095,D1095*(1+(F1095+MAX(0,10-G1095))/30)))</f>
        <v/>
      </c>
      <c r="J1095" s="16" t="str">
        <f aca="false">IF(A1095="","",IF(AND(C1095="yes",N(G1095)&gt;=7),N(E1095),0))</f>
        <v/>
      </c>
      <c r="K1095" s="17" t="str">
        <f aca="false">IF(A1095="","",A1095-WEEKDAY(A1095,3))</f>
        <v/>
      </c>
      <c r="L1095" s="11"/>
    </row>
    <row r="1096" customFormat="false" ht="15" hidden="false" customHeight="false" outlineLevel="0" collapsed="false">
      <c r="A1096" s="10"/>
      <c r="B1096" s="11"/>
      <c r="C1096" s="11"/>
      <c r="D1096" s="11"/>
      <c r="E1096" s="11"/>
      <c r="F1096" s="11"/>
      <c r="G1096" s="11"/>
      <c r="H1096" s="15" t="str">
        <f aca="false">IF(OR(D1096="",F1096=""),"",IF(F1096&lt;=1,D1096,D1096*(1+F1096/30)))</f>
        <v/>
      </c>
      <c r="I1096" s="15" t="str">
        <f aca="false">IF(OR(D1096="",F1096="",G1096=""),"",IF(F1096+MAX(0,10-G1096)&lt;=1,D1096,D1096*(1+(F1096+MAX(0,10-G1096))/30)))</f>
        <v/>
      </c>
      <c r="J1096" s="16" t="str">
        <f aca="false">IF(A1096="","",IF(AND(C1096="yes",N(G1096)&gt;=7),N(E1096),0))</f>
        <v/>
      </c>
      <c r="K1096" s="17" t="str">
        <f aca="false">IF(A1096="","",A1096-WEEKDAY(A1096,3))</f>
        <v/>
      </c>
      <c r="L1096" s="11"/>
    </row>
    <row r="1097" customFormat="false" ht="15" hidden="false" customHeight="false" outlineLevel="0" collapsed="false">
      <c r="A1097" s="10"/>
      <c r="B1097" s="11"/>
      <c r="C1097" s="11"/>
      <c r="D1097" s="11"/>
      <c r="E1097" s="11"/>
      <c r="F1097" s="11"/>
      <c r="G1097" s="11"/>
      <c r="H1097" s="15" t="str">
        <f aca="false">IF(OR(D1097="",F1097=""),"",IF(F1097&lt;=1,D1097,D1097*(1+F1097/30)))</f>
        <v/>
      </c>
      <c r="I1097" s="15" t="str">
        <f aca="false">IF(OR(D1097="",F1097="",G1097=""),"",IF(F1097+MAX(0,10-G1097)&lt;=1,D1097,D1097*(1+(F1097+MAX(0,10-G1097))/30)))</f>
        <v/>
      </c>
      <c r="J1097" s="16" t="str">
        <f aca="false">IF(A1097="","",IF(AND(C1097="yes",N(G1097)&gt;=7),N(E1097),0))</f>
        <v/>
      </c>
      <c r="K1097" s="17" t="str">
        <f aca="false">IF(A1097="","",A1097-WEEKDAY(A1097,3))</f>
        <v/>
      </c>
      <c r="L1097" s="11"/>
    </row>
    <row r="1098" customFormat="false" ht="15" hidden="false" customHeight="false" outlineLevel="0" collapsed="false">
      <c r="A1098" s="10"/>
      <c r="B1098" s="11"/>
      <c r="C1098" s="11"/>
      <c r="D1098" s="11"/>
      <c r="E1098" s="11"/>
      <c r="F1098" s="11"/>
      <c r="G1098" s="11"/>
      <c r="H1098" s="15" t="str">
        <f aca="false">IF(OR(D1098="",F1098=""),"",IF(F1098&lt;=1,D1098,D1098*(1+F1098/30)))</f>
        <v/>
      </c>
      <c r="I1098" s="15" t="str">
        <f aca="false">IF(OR(D1098="",F1098="",G1098=""),"",IF(F1098+MAX(0,10-G1098)&lt;=1,D1098,D1098*(1+(F1098+MAX(0,10-G1098))/30)))</f>
        <v/>
      </c>
      <c r="J1098" s="16" t="str">
        <f aca="false">IF(A1098="","",IF(AND(C1098="yes",N(G1098)&gt;=7),N(E1098),0))</f>
        <v/>
      </c>
      <c r="K1098" s="17" t="str">
        <f aca="false">IF(A1098="","",A1098-WEEKDAY(A1098,3))</f>
        <v/>
      </c>
      <c r="L1098" s="11"/>
    </row>
    <row r="1099" customFormat="false" ht="15" hidden="false" customHeight="false" outlineLevel="0" collapsed="false">
      <c r="A1099" s="10"/>
      <c r="B1099" s="11"/>
      <c r="C1099" s="11"/>
      <c r="D1099" s="11"/>
      <c r="E1099" s="11"/>
      <c r="F1099" s="11"/>
      <c r="G1099" s="11"/>
      <c r="H1099" s="15" t="str">
        <f aca="false">IF(OR(D1099="",F1099=""),"",IF(F1099&lt;=1,D1099,D1099*(1+F1099/30)))</f>
        <v/>
      </c>
      <c r="I1099" s="15" t="str">
        <f aca="false">IF(OR(D1099="",F1099="",G1099=""),"",IF(F1099+MAX(0,10-G1099)&lt;=1,D1099,D1099*(1+(F1099+MAX(0,10-G1099))/30)))</f>
        <v/>
      </c>
      <c r="J1099" s="16" t="str">
        <f aca="false">IF(A1099="","",IF(AND(C1099="yes",N(G1099)&gt;=7),N(E1099),0))</f>
        <v/>
      </c>
      <c r="K1099" s="17" t="str">
        <f aca="false">IF(A1099="","",A1099-WEEKDAY(A1099,3))</f>
        <v/>
      </c>
      <c r="L1099" s="11"/>
    </row>
    <row r="1100" customFormat="false" ht="15" hidden="false" customHeight="false" outlineLevel="0" collapsed="false">
      <c r="A1100" s="10"/>
      <c r="B1100" s="11"/>
      <c r="C1100" s="11"/>
      <c r="D1100" s="11"/>
      <c r="E1100" s="11"/>
      <c r="F1100" s="11"/>
      <c r="G1100" s="11"/>
      <c r="H1100" s="15" t="str">
        <f aca="false">IF(OR(D1100="",F1100=""),"",IF(F1100&lt;=1,D1100,D1100*(1+F1100/30)))</f>
        <v/>
      </c>
      <c r="I1100" s="15" t="str">
        <f aca="false">IF(OR(D1100="",F1100="",G1100=""),"",IF(F1100+MAX(0,10-G1100)&lt;=1,D1100,D1100*(1+(F1100+MAX(0,10-G1100))/30)))</f>
        <v/>
      </c>
      <c r="J1100" s="16" t="str">
        <f aca="false">IF(A1100="","",IF(AND(C1100="yes",N(G1100)&gt;=7),N(E1100),0))</f>
        <v/>
      </c>
      <c r="K1100" s="17" t="str">
        <f aca="false">IF(A1100="","",A1100-WEEKDAY(A1100,3))</f>
        <v/>
      </c>
      <c r="L1100" s="11"/>
    </row>
    <row r="1101" customFormat="false" ht="15" hidden="false" customHeight="false" outlineLevel="0" collapsed="false">
      <c r="A1101" s="10"/>
      <c r="B1101" s="11"/>
      <c r="C1101" s="11"/>
      <c r="D1101" s="11"/>
      <c r="E1101" s="11"/>
      <c r="F1101" s="11"/>
      <c r="G1101" s="11"/>
      <c r="H1101" s="15" t="str">
        <f aca="false">IF(OR(D1101="",F1101=""),"",IF(F1101&lt;=1,D1101,D1101*(1+F1101/30)))</f>
        <v/>
      </c>
      <c r="I1101" s="15" t="str">
        <f aca="false">IF(OR(D1101="",F1101="",G1101=""),"",IF(F1101+MAX(0,10-G1101)&lt;=1,D1101,D1101*(1+(F1101+MAX(0,10-G1101))/30)))</f>
        <v/>
      </c>
      <c r="J1101" s="16" t="str">
        <f aca="false">IF(A1101="","",IF(AND(C1101="yes",N(G1101)&gt;=7),N(E1101),0))</f>
        <v/>
      </c>
      <c r="K1101" s="17" t="str">
        <f aca="false">IF(A1101="","",A1101-WEEKDAY(A1101,3))</f>
        <v/>
      </c>
      <c r="L1101" s="11"/>
    </row>
    <row r="1102" customFormat="false" ht="15" hidden="false" customHeight="false" outlineLevel="0" collapsed="false">
      <c r="A1102" s="10"/>
      <c r="B1102" s="11"/>
      <c r="C1102" s="11"/>
      <c r="D1102" s="11"/>
      <c r="E1102" s="11"/>
      <c r="F1102" s="11"/>
      <c r="G1102" s="11"/>
      <c r="H1102" s="15" t="str">
        <f aca="false">IF(OR(D1102="",F1102=""),"",IF(F1102&lt;=1,D1102,D1102*(1+F1102/30)))</f>
        <v/>
      </c>
      <c r="I1102" s="15" t="str">
        <f aca="false">IF(OR(D1102="",F1102="",G1102=""),"",IF(F1102+MAX(0,10-G1102)&lt;=1,D1102,D1102*(1+(F1102+MAX(0,10-G1102))/30)))</f>
        <v/>
      </c>
      <c r="J1102" s="16" t="str">
        <f aca="false">IF(A1102="","",IF(AND(C1102="yes",N(G1102)&gt;=7),N(E1102),0))</f>
        <v/>
      </c>
      <c r="K1102" s="17" t="str">
        <f aca="false">IF(A1102="","",A1102-WEEKDAY(A1102,3))</f>
        <v/>
      </c>
      <c r="L1102" s="11"/>
    </row>
    <row r="1103" customFormat="false" ht="15" hidden="false" customHeight="false" outlineLevel="0" collapsed="false">
      <c r="A1103" s="10"/>
      <c r="B1103" s="11"/>
      <c r="C1103" s="11"/>
      <c r="D1103" s="11"/>
      <c r="E1103" s="11"/>
      <c r="F1103" s="11"/>
      <c r="G1103" s="11"/>
      <c r="H1103" s="15" t="str">
        <f aca="false">IF(OR(D1103="",F1103=""),"",IF(F1103&lt;=1,D1103,D1103*(1+F1103/30)))</f>
        <v/>
      </c>
      <c r="I1103" s="15" t="str">
        <f aca="false">IF(OR(D1103="",F1103="",G1103=""),"",IF(F1103+MAX(0,10-G1103)&lt;=1,D1103,D1103*(1+(F1103+MAX(0,10-G1103))/30)))</f>
        <v/>
      </c>
      <c r="J1103" s="16" t="str">
        <f aca="false">IF(A1103="","",IF(AND(C1103="yes",N(G1103)&gt;=7),N(E1103),0))</f>
        <v/>
      </c>
      <c r="K1103" s="17" t="str">
        <f aca="false">IF(A1103="","",A1103-WEEKDAY(A1103,3))</f>
        <v/>
      </c>
      <c r="L1103" s="11"/>
    </row>
    <row r="1104" customFormat="false" ht="15" hidden="false" customHeight="false" outlineLevel="0" collapsed="false">
      <c r="A1104" s="10"/>
      <c r="B1104" s="11"/>
      <c r="C1104" s="11"/>
      <c r="D1104" s="11"/>
      <c r="E1104" s="11"/>
      <c r="F1104" s="11"/>
      <c r="G1104" s="11"/>
      <c r="H1104" s="15" t="str">
        <f aca="false">IF(OR(D1104="",F1104=""),"",IF(F1104&lt;=1,D1104,D1104*(1+F1104/30)))</f>
        <v/>
      </c>
      <c r="I1104" s="15" t="str">
        <f aca="false">IF(OR(D1104="",F1104="",G1104=""),"",IF(F1104+MAX(0,10-G1104)&lt;=1,D1104,D1104*(1+(F1104+MAX(0,10-G1104))/30)))</f>
        <v/>
      </c>
      <c r="J1104" s="16" t="str">
        <f aca="false">IF(A1104="","",IF(AND(C1104="yes",N(G1104)&gt;=7),N(E1104),0))</f>
        <v/>
      </c>
      <c r="K1104" s="17" t="str">
        <f aca="false">IF(A1104="","",A1104-WEEKDAY(A1104,3))</f>
        <v/>
      </c>
      <c r="L1104" s="11"/>
    </row>
    <row r="1105" customFormat="false" ht="15" hidden="false" customHeight="false" outlineLevel="0" collapsed="false">
      <c r="A1105" s="10"/>
      <c r="B1105" s="11"/>
      <c r="C1105" s="11"/>
      <c r="D1105" s="11"/>
      <c r="E1105" s="11"/>
      <c r="F1105" s="11"/>
      <c r="G1105" s="11"/>
      <c r="H1105" s="15" t="str">
        <f aca="false">IF(OR(D1105="",F1105=""),"",IF(F1105&lt;=1,D1105,D1105*(1+F1105/30)))</f>
        <v/>
      </c>
      <c r="I1105" s="15" t="str">
        <f aca="false">IF(OR(D1105="",F1105="",G1105=""),"",IF(F1105+MAX(0,10-G1105)&lt;=1,D1105,D1105*(1+(F1105+MAX(0,10-G1105))/30)))</f>
        <v/>
      </c>
      <c r="J1105" s="16" t="str">
        <f aca="false">IF(A1105="","",IF(AND(C1105="yes",N(G1105)&gt;=7),N(E1105),0))</f>
        <v/>
      </c>
      <c r="K1105" s="17" t="str">
        <f aca="false">IF(A1105="","",A1105-WEEKDAY(A1105,3))</f>
        <v/>
      </c>
      <c r="L1105" s="11"/>
    </row>
    <row r="1106" customFormat="false" ht="15" hidden="false" customHeight="false" outlineLevel="0" collapsed="false">
      <c r="A1106" s="10"/>
      <c r="B1106" s="11"/>
      <c r="C1106" s="11"/>
      <c r="D1106" s="11"/>
      <c r="E1106" s="11"/>
      <c r="F1106" s="11"/>
      <c r="G1106" s="11"/>
      <c r="H1106" s="15" t="str">
        <f aca="false">IF(OR(D1106="",F1106=""),"",IF(F1106&lt;=1,D1106,D1106*(1+F1106/30)))</f>
        <v/>
      </c>
      <c r="I1106" s="15" t="str">
        <f aca="false">IF(OR(D1106="",F1106="",G1106=""),"",IF(F1106+MAX(0,10-G1106)&lt;=1,D1106,D1106*(1+(F1106+MAX(0,10-G1106))/30)))</f>
        <v/>
      </c>
      <c r="J1106" s="16" t="str">
        <f aca="false">IF(A1106="","",IF(AND(C1106="yes",N(G1106)&gt;=7),N(E1106),0))</f>
        <v/>
      </c>
      <c r="K1106" s="17" t="str">
        <f aca="false">IF(A1106="","",A1106-WEEKDAY(A1106,3))</f>
        <v/>
      </c>
      <c r="L1106" s="11"/>
    </row>
    <row r="1107" customFormat="false" ht="15" hidden="false" customHeight="false" outlineLevel="0" collapsed="false">
      <c r="A1107" s="10"/>
      <c r="B1107" s="11"/>
      <c r="C1107" s="11"/>
      <c r="D1107" s="11"/>
      <c r="E1107" s="11"/>
      <c r="F1107" s="11"/>
      <c r="G1107" s="11"/>
      <c r="H1107" s="15" t="str">
        <f aca="false">IF(OR(D1107="",F1107=""),"",IF(F1107&lt;=1,D1107,D1107*(1+F1107/30)))</f>
        <v/>
      </c>
      <c r="I1107" s="15" t="str">
        <f aca="false">IF(OR(D1107="",F1107="",G1107=""),"",IF(F1107+MAX(0,10-G1107)&lt;=1,D1107,D1107*(1+(F1107+MAX(0,10-G1107))/30)))</f>
        <v/>
      </c>
      <c r="J1107" s="16" t="str">
        <f aca="false">IF(A1107="","",IF(AND(C1107="yes",N(G1107)&gt;=7),N(E1107),0))</f>
        <v/>
      </c>
      <c r="K1107" s="17" t="str">
        <f aca="false">IF(A1107="","",A1107-WEEKDAY(A1107,3))</f>
        <v/>
      </c>
      <c r="L1107" s="11"/>
    </row>
    <row r="1108" customFormat="false" ht="15" hidden="false" customHeight="false" outlineLevel="0" collapsed="false">
      <c r="A1108" s="10"/>
      <c r="B1108" s="11"/>
      <c r="C1108" s="11"/>
      <c r="D1108" s="11"/>
      <c r="E1108" s="11"/>
      <c r="F1108" s="11"/>
      <c r="G1108" s="11"/>
      <c r="H1108" s="15" t="str">
        <f aca="false">IF(OR(D1108="",F1108=""),"",IF(F1108&lt;=1,D1108,D1108*(1+F1108/30)))</f>
        <v/>
      </c>
      <c r="I1108" s="15" t="str">
        <f aca="false">IF(OR(D1108="",F1108="",G1108=""),"",IF(F1108+MAX(0,10-G1108)&lt;=1,D1108,D1108*(1+(F1108+MAX(0,10-G1108))/30)))</f>
        <v/>
      </c>
      <c r="J1108" s="16" t="str">
        <f aca="false">IF(A1108="","",IF(AND(C1108="yes",N(G1108)&gt;=7),N(E1108),0))</f>
        <v/>
      </c>
      <c r="K1108" s="17" t="str">
        <f aca="false">IF(A1108="","",A1108-WEEKDAY(A1108,3))</f>
        <v/>
      </c>
      <c r="L1108" s="11"/>
    </row>
    <row r="1109" customFormat="false" ht="15" hidden="false" customHeight="false" outlineLevel="0" collapsed="false">
      <c r="A1109" s="10"/>
      <c r="B1109" s="11"/>
      <c r="C1109" s="11"/>
      <c r="D1109" s="11"/>
      <c r="E1109" s="11"/>
      <c r="F1109" s="11"/>
      <c r="G1109" s="11"/>
      <c r="H1109" s="15" t="str">
        <f aca="false">IF(OR(D1109="",F1109=""),"",IF(F1109&lt;=1,D1109,D1109*(1+F1109/30)))</f>
        <v/>
      </c>
      <c r="I1109" s="15" t="str">
        <f aca="false">IF(OR(D1109="",F1109="",G1109=""),"",IF(F1109+MAX(0,10-G1109)&lt;=1,D1109,D1109*(1+(F1109+MAX(0,10-G1109))/30)))</f>
        <v/>
      </c>
      <c r="J1109" s="16" t="str">
        <f aca="false">IF(A1109="","",IF(AND(C1109="yes",N(G1109)&gt;=7),N(E1109),0))</f>
        <v/>
      </c>
      <c r="K1109" s="17" t="str">
        <f aca="false">IF(A1109="","",A1109-WEEKDAY(A1109,3))</f>
        <v/>
      </c>
      <c r="L1109" s="11"/>
    </row>
    <row r="1110" customFormat="false" ht="15" hidden="false" customHeight="false" outlineLevel="0" collapsed="false">
      <c r="A1110" s="10"/>
      <c r="B1110" s="11"/>
      <c r="C1110" s="11"/>
      <c r="D1110" s="11"/>
      <c r="E1110" s="11"/>
      <c r="F1110" s="11"/>
      <c r="G1110" s="11"/>
      <c r="H1110" s="15" t="str">
        <f aca="false">IF(OR(D1110="",F1110=""),"",IF(F1110&lt;=1,D1110,D1110*(1+F1110/30)))</f>
        <v/>
      </c>
      <c r="I1110" s="15" t="str">
        <f aca="false">IF(OR(D1110="",F1110="",G1110=""),"",IF(F1110+MAX(0,10-G1110)&lt;=1,D1110,D1110*(1+(F1110+MAX(0,10-G1110))/30)))</f>
        <v/>
      </c>
      <c r="J1110" s="16" t="str">
        <f aca="false">IF(A1110="","",IF(AND(C1110="yes",N(G1110)&gt;=7),N(E1110),0))</f>
        <v/>
      </c>
      <c r="K1110" s="17" t="str">
        <f aca="false">IF(A1110="","",A1110-WEEKDAY(A1110,3))</f>
        <v/>
      </c>
      <c r="L1110" s="11"/>
    </row>
    <row r="1111" customFormat="false" ht="15" hidden="false" customHeight="false" outlineLevel="0" collapsed="false">
      <c r="A1111" s="10"/>
      <c r="B1111" s="11"/>
      <c r="C1111" s="11"/>
      <c r="D1111" s="11"/>
      <c r="E1111" s="11"/>
      <c r="F1111" s="11"/>
      <c r="G1111" s="11"/>
      <c r="H1111" s="15" t="str">
        <f aca="false">IF(OR(D1111="",F1111=""),"",IF(F1111&lt;=1,D1111,D1111*(1+F1111/30)))</f>
        <v/>
      </c>
      <c r="I1111" s="15" t="str">
        <f aca="false">IF(OR(D1111="",F1111="",G1111=""),"",IF(F1111+MAX(0,10-G1111)&lt;=1,D1111,D1111*(1+(F1111+MAX(0,10-G1111))/30)))</f>
        <v/>
      </c>
      <c r="J1111" s="16" t="str">
        <f aca="false">IF(A1111="","",IF(AND(C1111="yes",N(G1111)&gt;=7),N(E1111),0))</f>
        <v/>
      </c>
      <c r="K1111" s="17" t="str">
        <f aca="false">IF(A1111="","",A1111-WEEKDAY(A1111,3))</f>
        <v/>
      </c>
      <c r="L1111" s="11"/>
    </row>
    <row r="1112" customFormat="false" ht="15" hidden="false" customHeight="false" outlineLevel="0" collapsed="false">
      <c r="A1112" s="10"/>
      <c r="B1112" s="11"/>
      <c r="C1112" s="11"/>
      <c r="D1112" s="11"/>
      <c r="E1112" s="11"/>
      <c r="F1112" s="11"/>
      <c r="G1112" s="11"/>
      <c r="H1112" s="15" t="str">
        <f aca="false">IF(OR(D1112="",F1112=""),"",IF(F1112&lt;=1,D1112,D1112*(1+F1112/30)))</f>
        <v/>
      </c>
      <c r="I1112" s="15" t="str">
        <f aca="false">IF(OR(D1112="",F1112="",G1112=""),"",IF(F1112+MAX(0,10-G1112)&lt;=1,D1112,D1112*(1+(F1112+MAX(0,10-G1112))/30)))</f>
        <v/>
      </c>
      <c r="J1112" s="16" t="str">
        <f aca="false">IF(A1112="","",IF(AND(C1112="yes",N(G1112)&gt;=7),N(E1112),0))</f>
        <v/>
      </c>
      <c r="K1112" s="17" t="str">
        <f aca="false">IF(A1112="","",A1112-WEEKDAY(A1112,3))</f>
        <v/>
      </c>
      <c r="L1112" s="11"/>
    </row>
    <row r="1113" customFormat="false" ht="15" hidden="false" customHeight="false" outlineLevel="0" collapsed="false">
      <c r="A1113" s="10"/>
      <c r="B1113" s="11"/>
      <c r="C1113" s="11"/>
      <c r="D1113" s="11"/>
      <c r="E1113" s="11"/>
      <c r="F1113" s="11"/>
      <c r="G1113" s="11"/>
      <c r="H1113" s="15" t="str">
        <f aca="false">IF(OR(D1113="",F1113=""),"",IF(F1113&lt;=1,D1113,D1113*(1+F1113/30)))</f>
        <v/>
      </c>
      <c r="I1113" s="15" t="str">
        <f aca="false">IF(OR(D1113="",F1113="",G1113=""),"",IF(F1113+MAX(0,10-G1113)&lt;=1,D1113,D1113*(1+(F1113+MAX(0,10-G1113))/30)))</f>
        <v/>
      </c>
      <c r="J1113" s="16" t="str">
        <f aca="false">IF(A1113="","",IF(AND(C1113="yes",N(G1113)&gt;=7),N(E1113),0))</f>
        <v/>
      </c>
      <c r="K1113" s="17" t="str">
        <f aca="false">IF(A1113="","",A1113-WEEKDAY(A1113,3))</f>
        <v/>
      </c>
      <c r="L1113" s="11"/>
    </row>
    <row r="1114" customFormat="false" ht="15" hidden="false" customHeight="false" outlineLevel="0" collapsed="false">
      <c r="A1114" s="10"/>
      <c r="B1114" s="11"/>
      <c r="C1114" s="11"/>
      <c r="D1114" s="11"/>
      <c r="E1114" s="11"/>
      <c r="F1114" s="11"/>
      <c r="G1114" s="11"/>
      <c r="H1114" s="15" t="str">
        <f aca="false">IF(OR(D1114="",F1114=""),"",IF(F1114&lt;=1,D1114,D1114*(1+F1114/30)))</f>
        <v/>
      </c>
      <c r="I1114" s="15" t="str">
        <f aca="false">IF(OR(D1114="",F1114="",G1114=""),"",IF(F1114+MAX(0,10-G1114)&lt;=1,D1114,D1114*(1+(F1114+MAX(0,10-G1114))/30)))</f>
        <v/>
      </c>
      <c r="J1114" s="16" t="str">
        <f aca="false">IF(A1114="","",IF(AND(C1114="yes",N(G1114)&gt;=7),N(E1114),0))</f>
        <v/>
      </c>
      <c r="K1114" s="17" t="str">
        <f aca="false">IF(A1114="","",A1114-WEEKDAY(A1114,3))</f>
        <v/>
      </c>
      <c r="L1114" s="11"/>
    </row>
    <row r="1115" customFormat="false" ht="15" hidden="false" customHeight="false" outlineLevel="0" collapsed="false">
      <c r="A1115" s="10"/>
      <c r="B1115" s="11"/>
      <c r="C1115" s="11"/>
      <c r="D1115" s="11"/>
      <c r="E1115" s="11"/>
      <c r="F1115" s="11"/>
      <c r="G1115" s="11"/>
      <c r="H1115" s="15" t="str">
        <f aca="false">IF(OR(D1115="",F1115=""),"",IF(F1115&lt;=1,D1115,D1115*(1+F1115/30)))</f>
        <v/>
      </c>
      <c r="I1115" s="15" t="str">
        <f aca="false">IF(OR(D1115="",F1115="",G1115=""),"",IF(F1115+MAX(0,10-G1115)&lt;=1,D1115,D1115*(1+(F1115+MAX(0,10-G1115))/30)))</f>
        <v/>
      </c>
      <c r="J1115" s="16" t="str">
        <f aca="false">IF(A1115="","",IF(AND(C1115="yes",N(G1115)&gt;=7),N(E1115),0))</f>
        <v/>
      </c>
      <c r="K1115" s="17" t="str">
        <f aca="false">IF(A1115="","",A1115-WEEKDAY(A1115,3))</f>
        <v/>
      </c>
      <c r="L1115" s="11"/>
    </row>
    <row r="1116" customFormat="false" ht="15" hidden="false" customHeight="false" outlineLevel="0" collapsed="false">
      <c r="A1116" s="10"/>
      <c r="B1116" s="11"/>
      <c r="C1116" s="11"/>
      <c r="D1116" s="11"/>
      <c r="E1116" s="11"/>
      <c r="F1116" s="11"/>
      <c r="G1116" s="11"/>
      <c r="H1116" s="15" t="str">
        <f aca="false">IF(OR(D1116="",F1116=""),"",IF(F1116&lt;=1,D1116,D1116*(1+F1116/30)))</f>
        <v/>
      </c>
      <c r="I1116" s="15" t="str">
        <f aca="false">IF(OR(D1116="",F1116="",G1116=""),"",IF(F1116+MAX(0,10-G1116)&lt;=1,D1116,D1116*(1+(F1116+MAX(0,10-G1116))/30)))</f>
        <v/>
      </c>
      <c r="J1116" s="16" t="str">
        <f aca="false">IF(A1116="","",IF(AND(C1116="yes",N(G1116)&gt;=7),N(E1116),0))</f>
        <v/>
      </c>
      <c r="K1116" s="17" t="str">
        <f aca="false">IF(A1116="","",A1116-WEEKDAY(A1116,3))</f>
        <v/>
      </c>
      <c r="L1116" s="11"/>
    </row>
    <row r="1117" customFormat="false" ht="15" hidden="false" customHeight="false" outlineLevel="0" collapsed="false">
      <c r="A1117" s="10"/>
      <c r="B1117" s="11"/>
      <c r="C1117" s="11"/>
      <c r="D1117" s="11"/>
      <c r="E1117" s="11"/>
      <c r="F1117" s="11"/>
      <c r="G1117" s="11"/>
      <c r="H1117" s="15" t="str">
        <f aca="false">IF(OR(D1117="",F1117=""),"",IF(F1117&lt;=1,D1117,D1117*(1+F1117/30)))</f>
        <v/>
      </c>
      <c r="I1117" s="15" t="str">
        <f aca="false">IF(OR(D1117="",F1117="",G1117=""),"",IF(F1117+MAX(0,10-G1117)&lt;=1,D1117,D1117*(1+(F1117+MAX(0,10-G1117))/30)))</f>
        <v/>
      </c>
      <c r="J1117" s="16" t="str">
        <f aca="false">IF(A1117="","",IF(AND(C1117="yes",N(G1117)&gt;=7),N(E1117),0))</f>
        <v/>
      </c>
      <c r="K1117" s="17" t="str">
        <f aca="false">IF(A1117="","",A1117-WEEKDAY(A1117,3))</f>
        <v/>
      </c>
      <c r="L1117" s="11"/>
    </row>
    <row r="1118" customFormat="false" ht="15" hidden="false" customHeight="false" outlineLevel="0" collapsed="false">
      <c r="A1118" s="10"/>
      <c r="B1118" s="11"/>
      <c r="C1118" s="11"/>
      <c r="D1118" s="11"/>
      <c r="E1118" s="11"/>
      <c r="F1118" s="11"/>
      <c r="G1118" s="11"/>
      <c r="H1118" s="15" t="str">
        <f aca="false">IF(OR(D1118="",F1118=""),"",IF(F1118&lt;=1,D1118,D1118*(1+F1118/30)))</f>
        <v/>
      </c>
      <c r="I1118" s="15" t="str">
        <f aca="false">IF(OR(D1118="",F1118="",G1118=""),"",IF(F1118+MAX(0,10-G1118)&lt;=1,D1118,D1118*(1+(F1118+MAX(0,10-G1118))/30)))</f>
        <v/>
      </c>
      <c r="J1118" s="16" t="str">
        <f aca="false">IF(A1118="","",IF(AND(C1118="yes",N(G1118)&gt;=7),N(E1118),0))</f>
        <v/>
      </c>
      <c r="K1118" s="17" t="str">
        <f aca="false">IF(A1118="","",A1118-WEEKDAY(A1118,3))</f>
        <v/>
      </c>
      <c r="L1118" s="11"/>
    </row>
    <row r="1119" customFormat="false" ht="15" hidden="false" customHeight="false" outlineLevel="0" collapsed="false">
      <c r="A1119" s="10"/>
      <c r="B1119" s="11"/>
      <c r="C1119" s="11"/>
      <c r="D1119" s="11"/>
      <c r="E1119" s="11"/>
      <c r="F1119" s="11"/>
      <c r="G1119" s="11"/>
      <c r="H1119" s="15" t="str">
        <f aca="false">IF(OR(D1119="",F1119=""),"",IF(F1119&lt;=1,D1119,D1119*(1+F1119/30)))</f>
        <v/>
      </c>
      <c r="I1119" s="15" t="str">
        <f aca="false">IF(OR(D1119="",F1119="",G1119=""),"",IF(F1119+MAX(0,10-G1119)&lt;=1,D1119,D1119*(1+(F1119+MAX(0,10-G1119))/30)))</f>
        <v/>
      </c>
      <c r="J1119" s="16" t="str">
        <f aca="false">IF(A1119="","",IF(AND(C1119="yes",N(G1119)&gt;=7),N(E1119),0))</f>
        <v/>
      </c>
      <c r="K1119" s="17" t="str">
        <f aca="false">IF(A1119="","",A1119-WEEKDAY(A1119,3))</f>
        <v/>
      </c>
      <c r="L1119" s="11"/>
    </row>
    <row r="1120" customFormat="false" ht="15" hidden="false" customHeight="false" outlineLevel="0" collapsed="false">
      <c r="A1120" s="10"/>
      <c r="B1120" s="11"/>
      <c r="C1120" s="11"/>
      <c r="D1120" s="11"/>
      <c r="E1120" s="11"/>
      <c r="F1120" s="11"/>
      <c r="G1120" s="11"/>
      <c r="H1120" s="15" t="str">
        <f aca="false">IF(OR(D1120="",F1120=""),"",IF(F1120&lt;=1,D1120,D1120*(1+F1120/30)))</f>
        <v/>
      </c>
      <c r="I1120" s="15" t="str">
        <f aca="false">IF(OR(D1120="",F1120="",G1120=""),"",IF(F1120+MAX(0,10-G1120)&lt;=1,D1120,D1120*(1+(F1120+MAX(0,10-G1120))/30)))</f>
        <v/>
      </c>
      <c r="J1120" s="16" t="str">
        <f aca="false">IF(A1120="","",IF(AND(C1120="yes",N(G1120)&gt;=7),N(E1120),0))</f>
        <v/>
      </c>
      <c r="K1120" s="17" t="str">
        <f aca="false">IF(A1120="","",A1120-WEEKDAY(A1120,3))</f>
        <v/>
      </c>
      <c r="L1120" s="11"/>
    </row>
    <row r="1121" customFormat="false" ht="15" hidden="false" customHeight="false" outlineLevel="0" collapsed="false">
      <c r="A1121" s="10"/>
      <c r="B1121" s="11"/>
      <c r="C1121" s="11"/>
      <c r="D1121" s="11"/>
      <c r="E1121" s="11"/>
      <c r="F1121" s="11"/>
      <c r="G1121" s="11"/>
      <c r="H1121" s="15" t="str">
        <f aca="false">IF(OR(D1121="",F1121=""),"",IF(F1121&lt;=1,D1121,D1121*(1+F1121/30)))</f>
        <v/>
      </c>
      <c r="I1121" s="15" t="str">
        <f aca="false">IF(OR(D1121="",F1121="",G1121=""),"",IF(F1121+MAX(0,10-G1121)&lt;=1,D1121,D1121*(1+(F1121+MAX(0,10-G1121))/30)))</f>
        <v/>
      </c>
      <c r="J1121" s="16" t="str">
        <f aca="false">IF(A1121="","",IF(AND(C1121="yes",N(G1121)&gt;=7),N(E1121),0))</f>
        <v/>
      </c>
      <c r="K1121" s="17" t="str">
        <f aca="false">IF(A1121="","",A1121-WEEKDAY(A1121,3))</f>
        <v/>
      </c>
      <c r="L1121" s="11"/>
    </row>
    <row r="1122" customFormat="false" ht="15" hidden="false" customHeight="false" outlineLevel="0" collapsed="false">
      <c r="A1122" s="10"/>
      <c r="B1122" s="11"/>
      <c r="C1122" s="11"/>
      <c r="D1122" s="11"/>
      <c r="E1122" s="11"/>
      <c r="F1122" s="11"/>
      <c r="G1122" s="11"/>
      <c r="H1122" s="15" t="str">
        <f aca="false">IF(OR(D1122="",F1122=""),"",IF(F1122&lt;=1,D1122,D1122*(1+F1122/30)))</f>
        <v/>
      </c>
      <c r="I1122" s="15" t="str">
        <f aca="false">IF(OR(D1122="",F1122="",G1122=""),"",IF(F1122+MAX(0,10-G1122)&lt;=1,D1122,D1122*(1+(F1122+MAX(0,10-G1122))/30)))</f>
        <v/>
      </c>
      <c r="J1122" s="16" t="str">
        <f aca="false">IF(A1122="","",IF(AND(C1122="yes",N(G1122)&gt;=7),N(E1122),0))</f>
        <v/>
      </c>
      <c r="K1122" s="17" t="str">
        <f aca="false">IF(A1122="","",A1122-WEEKDAY(A1122,3))</f>
        <v/>
      </c>
      <c r="L1122" s="11"/>
    </row>
    <row r="1123" customFormat="false" ht="15" hidden="false" customHeight="false" outlineLevel="0" collapsed="false">
      <c r="A1123" s="10"/>
      <c r="B1123" s="11"/>
      <c r="C1123" s="11"/>
      <c r="D1123" s="11"/>
      <c r="E1123" s="11"/>
      <c r="F1123" s="11"/>
      <c r="G1123" s="11"/>
      <c r="H1123" s="15" t="str">
        <f aca="false">IF(OR(D1123="",F1123=""),"",IF(F1123&lt;=1,D1123,D1123*(1+F1123/30)))</f>
        <v/>
      </c>
      <c r="I1123" s="15" t="str">
        <f aca="false">IF(OR(D1123="",F1123="",G1123=""),"",IF(F1123+MAX(0,10-G1123)&lt;=1,D1123,D1123*(1+(F1123+MAX(0,10-G1123))/30)))</f>
        <v/>
      </c>
      <c r="J1123" s="16" t="str">
        <f aca="false">IF(A1123="","",IF(AND(C1123="yes",N(G1123)&gt;=7),N(E1123),0))</f>
        <v/>
      </c>
      <c r="K1123" s="17" t="str">
        <f aca="false">IF(A1123="","",A1123-WEEKDAY(A1123,3))</f>
        <v/>
      </c>
      <c r="L1123" s="11"/>
    </row>
    <row r="1124" customFormat="false" ht="15" hidden="false" customHeight="false" outlineLevel="0" collapsed="false">
      <c r="A1124" s="10"/>
      <c r="B1124" s="11"/>
      <c r="C1124" s="11"/>
      <c r="D1124" s="11"/>
      <c r="E1124" s="11"/>
      <c r="F1124" s="11"/>
      <c r="G1124" s="11"/>
      <c r="H1124" s="15" t="str">
        <f aca="false">IF(OR(D1124="",F1124=""),"",IF(F1124&lt;=1,D1124,D1124*(1+F1124/30)))</f>
        <v/>
      </c>
      <c r="I1124" s="15" t="str">
        <f aca="false">IF(OR(D1124="",F1124="",G1124=""),"",IF(F1124+MAX(0,10-G1124)&lt;=1,D1124,D1124*(1+(F1124+MAX(0,10-G1124))/30)))</f>
        <v/>
      </c>
      <c r="J1124" s="16" t="str">
        <f aca="false">IF(A1124="","",IF(AND(C1124="yes",N(G1124)&gt;=7),N(E1124),0))</f>
        <v/>
      </c>
      <c r="K1124" s="17" t="str">
        <f aca="false">IF(A1124="","",A1124-WEEKDAY(A1124,3))</f>
        <v/>
      </c>
      <c r="L1124" s="11"/>
    </row>
    <row r="1125" customFormat="false" ht="15" hidden="false" customHeight="false" outlineLevel="0" collapsed="false">
      <c r="A1125" s="10"/>
      <c r="B1125" s="11"/>
      <c r="C1125" s="11"/>
      <c r="D1125" s="11"/>
      <c r="E1125" s="11"/>
      <c r="F1125" s="11"/>
      <c r="G1125" s="11"/>
      <c r="H1125" s="15" t="str">
        <f aca="false">IF(OR(D1125="",F1125=""),"",IF(F1125&lt;=1,D1125,D1125*(1+F1125/30)))</f>
        <v/>
      </c>
      <c r="I1125" s="15" t="str">
        <f aca="false">IF(OR(D1125="",F1125="",G1125=""),"",IF(F1125+MAX(0,10-G1125)&lt;=1,D1125,D1125*(1+(F1125+MAX(0,10-G1125))/30)))</f>
        <v/>
      </c>
      <c r="J1125" s="16" t="str">
        <f aca="false">IF(A1125="","",IF(AND(C1125="yes",N(G1125)&gt;=7),N(E1125),0))</f>
        <v/>
      </c>
      <c r="K1125" s="17" t="str">
        <f aca="false">IF(A1125="","",A1125-WEEKDAY(A1125,3))</f>
        <v/>
      </c>
      <c r="L1125" s="11"/>
    </row>
    <row r="1126" customFormat="false" ht="15" hidden="false" customHeight="false" outlineLevel="0" collapsed="false">
      <c r="A1126" s="10"/>
      <c r="B1126" s="11"/>
      <c r="C1126" s="11"/>
      <c r="D1126" s="11"/>
      <c r="E1126" s="11"/>
      <c r="F1126" s="11"/>
      <c r="G1126" s="11"/>
      <c r="H1126" s="15" t="str">
        <f aca="false">IF(OR(D1126="",F1126=""),"",IF(F1126&lt;=1,D1126,D1126*(1+F1126/30)))</f>
        <v/>
      </c>
      <c r="I1126" s="15" t="str">
        <f aca="false">IF(OR(D1126="",F1126="",G1126=""),"",IF(F1126+MAX(0,10-G1126)&lt;=1,D1126,D1126*(1+(F1126+MAX(0,10-G1126))/30)))</f>
        <v/>
      </c>
      <c r="J1126" s="16" t="str">
        <f aca="false">IF(A1126="","",IF(AND(C1126="yes",N(G1126)&gt;=7),N(E1126),0))</f>
        <v/>
      </c>
      <c r="K1126" s="17" t="str">
        <f aca="false">IF(A1126="","",A1126-WEEKDAY(A1126,3))</f>
        <v/>
      </c>
      <c r="L1126" s="11"/>
    </row>
    <row r="1127" customFormat="false" ht="15" hidden="false" customHeight="false" outlineLevel="0" collapsed="false">
      <c r="A1127" s="10"/>
      <c r="B1127" s="11"/>
      <c r="C1127" s="11"/>
      <c r="D1127" s="11"/>
      <c r="E1127" s="11"/>
      <c r="F1127" s="11"/>
      <c r="G1127" s="11"/>
      <c r="H1127" s="15" t="str">
        <f aca="false">IF(OR(D1127="",F1127=""),"",IF(F1127&lt;=1,D1127,D1127*(1+F1127/30)))</f>
        <v/>
      </c>
      <c r="I1127" s="15" t="str">
        <f aca="false">IF(OR(D1127="",F1127="",G1127=""),"",IF(F1127+MAX(0,10-G1127)&lt;=1,D1127,D1127*(1+(F1127+MAX(0,10-G1127))/30)))</f>
        <v/>
      </c>
      <c r="J1127" s="16" t="str">
        <f aca="false">IF(A1127="","",IF(AND(C1127="yes",N(G1127)&gt;=7),N(E1127),0))</f>
        <v/>
      </c>
      <c r="K1127" s="17" t="str">
        <f aca="false">IF(A1127="","",A1127-WEEKDAY(A1127,3))</f>
        <v/>
      </c>
      <c r="L1127" s="11"/>
    </row>
    <row r="1128" customFormat="false" ht="15" hidden="false" customHeight="false" outlineLevel="0" collapsed="false">
      <c r="A1128" s="10"/>
      <c r="B1128" s="11"/>
      <c r="C1128" s="11"/>
      <c r="D1128" s="11"/>
      <c r="E1128" s="11"/>
      <c r="F1128" s="11"/>
      <c r="G1128" s="11"/>
      <c r="H1128" s="15" t="str">
        <f aca="false">IF(OR(D1128="",F1128=""),"",IF(F1128&lt;=1,D1128,D1128*(1+F1128/30)))</f>
        <v/>
      </c>
      <c r="I1128" s="15" t="str">
        <f aca="false">IF(OR(D1128="",F1128="",G1128=""),"",IF(F1128+MAX(0,10-G1128)&lt;=1,D1128,D1128*(1+(F1128+MAX(0,10-G1128))/30)))</f>
        <v/>
      </c>
      <c r="J1128" s="16" t="str">
        <f aca="false">IF(A1128="","",IF(AND(C1128="yes",N(G1128)&gt;=7),N(E1128),0))</f>
        <v/>
      </c>
      <c r="K1128" s="17" t="str">
        <f aca="false">IF(A1128="","",A1128-WEEKDAY(A1128,3))</f>
        <v/>
      </c>
      <c r="L1128" s="11"/>
    </row>
    <row r="1129" customFormat="false" ht="15" hidden="false" customHeight="false" outlineLevel="0" collapsed="false">
      <c r="A1129" s="10"/>
      <c r="B1129" s="11"/>
      <c r="C1129" s="11"/>
      <c r="D1129" s="11"/>
      <c r="E1129" s="11"/>
      <c r="F1129" s="11"/>
      <c r="G1129" s="11"/>
      <c r="H1129" s="15" t="str">
        <f aca="false">IF(OR(D1129="",F1129=""),"",IF(F1129&lt;=1,D1129,D1129*(1+F1129/30)))</f>
        <v/>
      </c>
      <c r="I1129" s="15" t="str">
        <f aca="false">IF(OR(D1129="",F1129="",G1129=""),"",IF(F1129+MAX(0,10-G1129)&lt;=1,D1129,D1129*(1+(F1129+MAX(0,10-G1129))/30)))</f>
        <v/>
      </c>
      <c r="J1129" s="16" t="str">
        <f aca="false">IF(A1129="","",IF(AND(C1129="yes",N(G1129)&gt;=7),N(E1129),0))</f>
        <v/>
      </c>
      <c r="K1129" s="17" t="str">
        <f aca="false">IF(A1129="","",A1129-WEEKDAY(A1129,3))</f>
        <v/>
      </c>
      <c r="L1129" s="11"/>
    </row>
    <row r="1130" customFormat="false" ht="15" hidden="false" customHeight="false" outlineLevel="0" collapsed="false">
      <c r="A1130" s="10"/>
      <c r="B1130" s="11"/>
      <c r="C1130" s="11"/>
      <c r="D1130" s="11"/>
      <c r="E1130" s="11"/>
      <c r="F1130" s="11"/>
      <c r="G1130" s="11"/>
      <c r="H1130" s="15" t="str">
        <f aca="false">IF(OR(D1130="",F1130=""),"",IF(F1130&lt;=1,D1130,D1130*(1+F1130/30)))</f>
        <v/>
      </c>
      <c r="I1130" s="15" t="str">
        <f aca="false">IF(OR(D1130="",F1130="",G1130=""),"",IF(F1130+MAX(0,10-G1130)&lt;=1,D1130,D1130*(1+(F1130+MAX(0,10-G1130))/30)))</f>
        <v/>
      </c>
      <c r="J1130" s="16" t="str">
        <f aca="false">IF(A1130="","",IF(AND(C1130="yes",N(G1130)&gt;=7),N(E1130),0))</f>
        <v/>
      </c>
      <c r="K1130" s="17" t="str">
        <f aca="false">IF(A1130="","",A1130-WEEKDAY(A1130,3))</f>
        <v/>
      </c>
      <c r="L1130" s="11"/>
    </row>
    <row r="1131" customFormat="false" ht="15" hidden="false" customHeight="false" outlineLevel="0" collapsed="false">
      <c r="A1131" s="10"/>
      <c r="B1131" s="11"/>
      <c r="C1131" s="11"/>
      <c r="D1131" s="11"/>
      <c r="E1131" s="11"/>
      <c r="F1131" s="11"/>
      <c r="G1131" s="11"/>
      <c r="H1131" s="15" t="str">
        <f aca="false">IF(OR(D1131="",F1131=""),"",IF(F1131&lt;=1,D1131,D1131*(1+F1131/30)))</f>
        <v/>
      </c>
      <c r="I1131" s="15" t="str">
        <f aca="false">IF(OR(D1131="",F1131="",G1131=""),"",IF(F1131+MAX(0,10-G1131)&lt;=1,D1131,D1131*(1+(F1131+MAX(0,10-G1131))/30)))</f>
        <v/>
      </c>
      <c r="J1131" s="16" t="str">
        <f aca="false">IF(A1131="","",IF(AND(C1131="yes",N(G1131)&gt;=7),N(E1131),0))</f>
        <v/>
      </c>
      <c r="K1131" s="17" t="str">
        <f aca="false">IF(A1131="","",A1131-WEEKDAY(A1131,3))</f>
        <v/>
      </c>
      <c r="L1131" s="11"/>
    </row>
    <row r="1132" customFormat="false" ht="15" hidden="false" customHeight="false" outlineLevel="0" collapsed="false">
      <c r="A1132" s="10"/>
      <c r="B1132" s="11"/>
      <c r="C1132" s="11"/>
      <c r="D1132" s="11"/>
      <c r="E1132" s="11"/>
      <c r="F1132" s="11"/>
      <c r="G1132" s="11"/>
      <c r="H1132" s="15" t="str">
        <f aca="false">IF(OR(D1132="",F1132=""),"",IF(F1132&lt;=1,D1132,D1132*(1+F1132/30)))</f>
        <v/>
      </c>
      <c r="I1132" s="15" t="str">
        <f aca="false">IF(OR(D1132="",F1132="",G1132=""),"",IF(F1132+MAX(0,10-G1132)&lt;=1,D1132,D1132*(1+(F1132+MAX(0,10-G1132))/30)))</f>
        <v/>
      </c>
      <c r="J1132" s="16" t="str">
        <f aca="false">IF(A1132="","",IF(AND(C1132="yes",N(G1132)&gt;=7),N(E1132),0))</f>
        <v/>
      </c>
      <c r="K1132" s="17" t="str">
        <f aca="false">IF(A1132="","",A1132-WEEKDAY(A1132,3))</f>
        <v/>
      </c>
      <c r="L1132" s="11"/>
    </row>
    <row r="1133" customFormat="false" ht="15" hidden="false" customHeight="false" outlineLevel="0" collapsed="false">
      <c r="A1133" s="10"/>
      <c r="B1133" s="11"/>
      <c r="C1133" s="11"/>
      <c r="D1133" s="11"/>
      <c r="E1133" s="11"/>
      <c r="F1133" s="11"/>
      <c r="G1133" s="11"/>
      <c r="H1133" s="15" t="str">
        <f aca="false">IF(OR(D1133="",F1133=""),"",IF(F1133&lt;=1,D1133,D1133*(1+F1133/30)))</f>
        <v/>
      </c>
      <c r="I1133" s="15" t="str">
        <f aca="false">IF(OR(D1133="",F1133="",G1133=""),"",IF(F1133+MAX(0,10-G1133)&lt;=1,D1133,D1133*(1+(F1133+MAX(0,10-G1133))/30)))</f>
        <v/>
      </c>
      <c r="J1133" s="16" t="str">
        <f aca="false">IF(A1133="","",IF(AND(C1133="yes",N(G1133)&gt;=7),N(E1133),0))</f>
        <v/>
      </c>
      <c r="K1133" s="17" t="str">
        <f aca="false">IF(A1133="","",A1133-WEEKDAY(A1133,3))</f>
        <v/>
      </c>
      <c r="L1133" s="11"/>
    </row>
    <row r="1134" customFormat="false" ht="15" hidden="false" customHeight="false" outlineLevel="0" collapsed="false">
      <c r="A1134" s="10"/>
      <c r="B1134" s="11"/>
      <c r="C1134" s="11"/>
      <c r="D1134" s="11"/>
      <c r="E1134" s="11"/>
      <c r="F1134" s="11"/>
      <c r="G1134" s="11"/>
      <c r="H1134" s="15" t="str">
        <f aca="false">IF(OR(D1134="",F1134=""),"",IF(F1134&lt;=1,D1134,D1134*(1+F1134/30)))</f>
        <v/>
      </c>
      <c r="I1134" s="15" t="str">
        <f aca="false">IF(OR(D1134="",F1134="",G1134=""),"",IF(F1134+MAX(0,10-G1134)&lt;=1,D1134,D1134*(1+(F1134+MAX(0,10-G1134))/30)))</f>
        <v/>
      </c>
      <c r="J1134" s="16" t="str">
        <f aca="false">IF(A1134="","",IF(AND(C1134="yes",N(G1134)&gt;=7),N(E1134),0))</f>
        <v/>
      </c>
      <c r="K1134" s="17" t="str">
        <f aca="false">IF(A1134="","",A1134-WEEKDAY(A1134,3))</f>
        <v/>
      </c>
      <c r="L1134" s="11"/>
    </row>
    <row r="1135" customFormat="false" ht="15" hidden="false" customHeight="false" outlineLevel="0" collapsed="false">
      <c r="A1135" s="10"/>
      <c r="B1135" s="11"/>
      <c r="C1135" s="11"/>
      <c r="D1135" s="11"/>
      <c r="E1135" s="11"/>
      <c r="F1135" s="11"/>
      <c r="G1135" s="11"/>
      <c r="H1135" s="15" t="str">
        <f aca="false">IF(OR(D1135="",F1135=""),"",IF(F1135&lt;=1,D1135,D1135*(1+F1135/30)))</f>
        <v/>
      </c>
      <c r="I1135" s="15" t="str">
        <f aca="false">IF(OR(D1135="",F1135="",G1135=""),"",IF(F1135+MAX(0,10-G1135)&lt;=1,D1135,D1135*(1+(F1135+MAX(0,10-G1135))/30)))</f>
        <v/>
      </c>
      <c r="J1135" s="16" t="str">
        <f aca="false">IF(A1135="","",IF(AND(C1135="yes",N(G1135)&gt;=7),N(E1135),0))</f>
        <v/>
      </c>
      <c r="K1135" s="17" t="str">
        <f aca="false">IF(A1135="","",A1135-WEEKDAY(A1135,3))</f>
        <v/>
      </c>
      <c r="L1135" s="11"/>
    </row>
    <row r="1136" customFormat="false" ht="15" hidden="false" customHeight="false" outlineLevel="0" collapsed="false">
      <c r="A1136" s="10"/>
      <c r="B1136" s="11"/>
      <c r="C1136" s="11"/>
      <c r="D1136" s="11"/>
      <c r="E1136" s="11"/>
      <c r="F1136" s="11"/>
      <c r="G1136" s="11"/>
      <c r="H1136" s="15" t="str">
        <f aca="false">IF(OR(D1136="",F1136=""),"",IF(F1136&lt;=1,D1136,D1136*(1+F1136/30)))</f>
        <v/>
      </c>
      <c r="I1136" s="15" t="str">
        <f aca="false">IF(OR(D1136="",F1136="",G1136=""),"",IF(F1136+MAX(0,10-G1136)&lt;=1,D1136,D1136*(1+(F1136+MAX(0,10-G1136))/30)))</f>
        <v/>
      </c>
      <c r="J1136" s="16" t="str">
        <f aca="false">IF(A1136="","",IF(AND(C1136="yes",N(G1136)&gt;=7),N(E1136),0))</f>
        <v/>
      </c>
      <c r="K1136" s="17" t="str">
        <f aca="false">IF(A1136="","",A1136-WEEKDAY(A1136,3))</f>
        <v/>
      </c>
      <c r="L1136" s="11"/>
    </row>
    <row r="1137" customFormat="false" ht="15" hidden="false" customHeight="false" outlineLevel="0" collapsed="false">
      <c r="A1137" s="10"/>
      <c r="B1137" s="11"/>
      <c r="C1137" s="11"/>
      <c r="D1137" s="11"/>
      <c r="E1137" s="11"/>
      <c r="F1137" s="11"/>
      <c r="G1137" s="11"/>
      <c r="H1137" s="15" t="str">
        <f aca="false">IF(OR(D1137="",F1137=""),"",IF(F1137&lt;=1,D1137,D1137*(1+F1137/30)))</f>
        <v/>
      </c>
      <c r="I1137" s="15" t="str">
        <f aca="false">IF(OR(D1137="",F1137="",G1137=""),"",IF(F1137+MAX(0,10-G1137)&lt;=1,D1137,D1137*(1+(F1137+MAX(0,10-G1137))/30)))</f>
        <v/>
      </c>
      <c r="J1137" s="16" t="str">
        <f aca="false">IF(A1137="","",IF(AND(C1137="yes",N(G1137)&gt;=7),N(E1137),0))</f>
        <v/>
      </c>
      <c r="K1137" s="17" t="str">
        <f aca="false">IF(A1137="","",A1137-WEEKDAY(A1137,3))</f>
        <v/>
      </c>
      <c r="L1137" s="11"/>
    </row>
    <row r="1138" customFormat="false" ht="15" hidden="false" customHeight="false" outlineLevel="0" collapsed="false">
      <c r="A1138" s="10"/>
      <c r="B1138" s="11"/>
      <c r="C1138" s="11"/>
      <c r="D1138" s="11"/>
      <c r="E1138" s="11"/>
      <c r="F1138" s="11"/>
      <c r="G1138" s="11"/>
      <c r="H1138" s="15" t="str">
        <f aca="false">IF(OR(D1138="",F1138=""),"",IF(F1138&lt;=1,D1138,D1138*(1+F1138/30)))</f>
        <v/>
      </c>
      <c r="I1138" s="15" t="str">
        <f aca="false">IF(OR(D1138="",F1138="",G1138=""),"",IF(F1138+MAX(0,10-G1138)&lt;=1,D1138,D1138*(1+(F1138+MAX(0,10-G1138))/30)))</f>
        <v/>
      </c>
      <c r="J1138" s="16" t="str">
        <f aca="false">IF(A1138="","",IF(AND(C1138="yes",N(G1138)&gt;=7),N(E1138),0))</f>
        <v/>
      </c>
      <c r="K1138" s="17" t="str">
        <f aca="false">IF(A1138="","",A1138-WEEKDAY(A1138,3))</f>
        <v/>
      </c>
      <c r="L1138" s="11"/>
    </row>
    <row r="1139" customFormat="false" ht="15" hidden="false" customHeight="false" outlineLevel="0" collapsed="false">
      <c r="A1139" s="10"/>
      <c r="B1139" s="11"/>
      <c r="C1139" s="11"/>
      <c r="D1139" s="11"/>
      <c r="E1139" s="11"/>
      <c r="F1139" s="11"/>
      <c r="G1139" s="11"/>
      <c r="H1139" s="15" t="str">
        <f aca="false">IF(OR(D1139="",F1139=""),"",IF(F1139&lt;=1,D1139,D1139*(1+F1139/30)))</f>
        <v/>
      </c>
      <c r="I1139" s="15" t="str">
        <f aca="false">IF(OR(D1139="",F1139="",G1139=""),"",IF(F1139+MAX(0,10-G1139)&lt;=1,D1139,D1139*(1+(F1139+MAX(0,10-G1139))/30)))</f>
        <v/>
      </c>
      <c r="J1139" s="16" t="str">
        <f aca="false">IF(A1139="","",IF(AND(C1139="yes",N(G1139)&gt;=7),N(E1139),0))</f>
        <v/>
      </c>
      <c r="K1139" s="17" t="str">
        <f aca="false">IF(A1139="","",A1139-WEEKDAY(A1139,3))</f>
        <v/>
      </c>
      <c r="L1139" s="11"/>
    </row>
    <row r="1140" customFormat="false" ht="15" hidden="false" customHeight="false" outlineLevel="0" collapsed="false">
      <c r="A1140" s="10"/>
      <c r="B1140" s="11"/>
      <c r="C1140" s="11"/>
      <c r="D1140" s="11"/>
      <c r="E1140" s="11"/>
      <c r="F1140" s="11"/>
      <c r="G1140" s="11"/>
      <c r="H1140" s="15" t="str">
        <f aca="false">IF(OR(D1140="",F1140=""),"",IF(F1140&lt;=1,D1140,D1140*(1+F1140/30)))</f>
        <v/>
      </c>
      <c r="I1140" s="15" t="str">
        <f aca="false">IF(OR(D1140="",F1140="",G1140=""),"",IF(F1140+MAX(0,10-G1140)&lt;=1,D1140,D1140*(1+(F1140+MAX(0,10-G1140))/30)))</f>
        <v/>
      </c>
      <c r="J1140" s="16" t="str">
        <f aca="false">IF(A1140="","",IF(AND(C1140="yes",N(G1140)&gt;=7),N(E1140),0))</f>
        <v/>
      </c>
      <c r="K1140" s="17" t="str">
        <f aca="false">IF(A1140="","",A1140-WEEKDAY(A1140,3))</f>
        <v/>
      </c>
      <c r="L1140" s="11"/>
    </row>
    <row r="1141" customFormat="false" ht="15" hidden="false" customHeight="false" outlineLevel="0" collapsed="false">
      <c r="A1141" s="10"/>
      <c r="B1141" s="11"/>
      <c r="C1141" s="11"/>
      <c r="D1141" s="11"/>
      <c r="E1141" s="11"/>
      <c r="F1141" s="11"/>
      <c r="G1141" s="11"/>
      <c r="H1141" s="15" t="str">
        <f aca="false">IF(OR(D1141="",F1141=""),"",IF(F1141&lt;=1,D1141,D1141*(1+F1141/30)))</f>
        <v/>
      </c>
      <c r="I1141" s="15" t="str">
        <f aca="false">IF(OR(D1141="",F1141="",G1141=""),"",IF(F1141+MAX(0,10-G1141)&lt;=1,D1141,D1141*(1+(F1141+MAX(0,10-G1141))/30)))</f>
        <v/>
      </c>
      <c r="J1141" s="16" t="str">
        <f aca="false">IF(A1141="","",IF(AND(C1141="yes",N(G1141)&gt;=7),N(E1141),0))</f>
        <v/>
      </c>
      <c r="K1141" s="17" t="str">
        <f aca="false">IF(A1141="","",A1141-WEEKDAY(A1141,3))</f>
        <v/>
      </c>
      <c r="L1141" s="11"/>
    </row>
    <row r="1142" customFormat="false" ht="15" hidden="false" customHeight="false" outlineLevel="0" collapsed="false">
      <c r="A1142" s="10"/>
      <c r="B1142" s="11"/>
      <c r="C1142" s="11"/>
      <c r="D1142" s="11"/>
      <c r="E1142" s="11"/>
      <c r="F1142" s="11"/>
      <c r="G1142" s="11"/>
      <c r="H1142" s="15" t="str">
        <f aca="false">IF(OR(D1142="",F1142=""),"",IF(F1142&lt;=1,D1142,D1142*(1+F1142/30)))</f>
        <v/>
      </c>
      <c r="I1142" s="15" t="str">
        <f aca="false">IF(OR(D1142="",F1142="",G1142=""),"",IF(F1142+MAX(0,10-G1142)&lt;=1,D1142,D1142*(1+(F1142+MAX(0,10-G1142))/30)))</f>
        <v/>
      </c>
      <c r="J1142" s="16" t="str">
        <f aca="false">IF(A1142="","",IF(AND(C1142="yes",N(G1142)&gt;=7),N(E1142),0))</f>
        <v/>
      </c>
      <c r="K1142" s="17" t="str">
        <f aca="false">IF(A1142="","",A1142-WEEKDAY(A1142,3))</f>
        <v/>
      </c>
      <c r="L1142" s="11"/>
    </row>
    <row r="1143" customFormat="false" ht="15" hidden="false" customHeight="false" outlineLevel="0" collapsed="false">
      <c r="A1143" s="10"/>
      <c r="B1143" s="11"/>
      <c r="C1143" s="11"/>
      <c r="D1143" s="11"/>
      <c r="E1143" s="11"/>
      <c r="F1143" s="11"/>
      <c r="G1143" s="11"/>
      <c r="H1143" s="15" t="str">
        <f aca="false">IF(OR(D1143="",F1143=""),"",IF(F1143&lt;=1,D1143,D1143*(1+F1143/30)))</f>
        <v/>
      </c>
      <c r="I1143" s="15" t="str">
        <f aca="false">IF(OR(D1143="",F1143="",G1143=""),"",IF(F1143+MAX(0,10-G1143)&lt;=1,D1143,D1143*(1+(F1143+MAX(0,10-G1143))/30)))</f>
        <v/>
      </c>
      <c r="J1143" s="16" t="str">
        <f aca="false">IF(A1143="","",IF(AND(C1143="yes",N(G1143)&gt;=7),N(E1143),0))</f>
        <v/>
      </c>
      <c r="K1143" s="17" t="str">
        <f aca="false">IF(A1143="","",A1143-WEEKDAY(A1143,3))</f>
        <v/>
      </c>
      <c r="L1143" s="11"/>
    </row>
    <row r="1144" customFormat="false" ht="15" hidden="false" customHeight="false" outlineLevel="0" collapsed="false">
      <c r="A1144" s="10"/>
      <c r="B1144" s="11"/>
      <c r="C1144" s="11"/>
      <c r="D1144" s="11"/>
      <c r="E1144" s="11"/>
      <c r="F1144" s="11"/>
      <c r="G1144" s="11"/>
      <c r="H1144" s="15" t="str">
        <f aca="false">IF(OR(D1144="",F1144=""),"",IF(F1144&lt;=1,D1144,D1144*(1+F1144/30)))</f>
        <v/>
      </c>
      <c r="I1144" s="15" t="str">
        <f aca="false">IF(OR(D1144="",F1144="",G1144=""),"",IF(F1144+MAX(0,10-G1144)&lt;=1,D1144,D1144*(1+(F1144+MAX(0,10-G1144))/30)))</f>
        <v/>
      </c>
      <c r="J1144" s="16" t="str">
        <f aca="false">IF(A1144="","",IF(AND(C1144="yes",N(G1144)&gt;=7),N(E1144),0))</f>
        <v/>
      </c>
      <c r="K1144" s="17" t="str">
        <f aca="false">IF(A1144="","",A1144-WEEKDAY(A1144,3))</f>
        <v/>
      </c>
      <c r="L1144" s="11"/>
    </row>
    <row r="1145" customFormat="false" ht="15" hidden="false" customHeight="false" outlineLevel="0" collapsed="false">
      <c r="A1145" s="10"/>
      <c r="B1145" s="11"/>
      <c r="C1145" s="11"/>
      <c r="D1145" s="11"/>
      <c r="E1145" s="11"/>
      <c r="F1145" s="11"/>
      <c r="G1145" s="11"/>
      <c r="H1145" s="15" t="str">
        <f aca="false">IF(OR(D1145="",F1145=""),"",IF(F1145&lt;=1,D1145,D1145*(1+F1145/30)))</f>
        <v/>
      </c>
      <c r="I1145" s="15" t="str">
        <f aca="false">IF(OR(D1145="",F1145="",G1145=""),"",IF(F1145+MAX(0,10-G1145)&lt;=1,D1145,D1145*(1+(F1145+MAX(0,10-G1145))/30)))</f>
        <v/>
      </c>
      <c r="J1145" s="16" t="str">
        <f aca="false">IF(A1145="","",IF(AND(C1145="yes",N(G1145)&gt;=7),N(E1145),0))</f>
        <v/>
      </c>
      <c r="K1145" s="17" t="str">
        <f aca="false">IF(A1145="","",A1145-WEEKDAY(A1145,3))</f>
        <v/>
      </c>
      <c r="L1145" s="11"/>
    </row>
    <row r="1146" customFormat="false" ht="15" hidden="false" customHeight="false" outlineLevel="0" collapsed="false">
      <c r="A1146" s="10"/>
      <c r="B1146" s="11"/>
      <c r="C1146" s="11"/>
      <c r="D1146" s="11"/>
      <c r="E1146" s="11"/>
      <c r="F1146" s="11"/>
      <c r="G1146" s="11"/>
      <c r="H1146" s="15" t="str">
        <f aca="false">IF(OR(D1146="",F1146=""),"",IF(F1146&lt;=1,D1146,D1146*(1+F1146/30)))</f>
        <v/>
      </c>
      <c r="I1146" s="15" t="str">
        <f aca="false">IF(OR(D1146="",F1146="",G1146=""),"",IF(F1146+MAX(0,10-G1146)&lt;=1,D1146,D1146*(1+(F1146+MAX(0,10-G1146))/30)))</f>
        <v/>
      </c>
      <c r="J1146" s="16" t="str">
        <f aca="false">IF(A1146="","",IF(AND(C1146="yes",N(G1146)&gt;=7),N(E1146),0))</f>
        <v/>
      </c>
      <c r="K1146" s="17" t="str">
        <f aca="false">IF(A1146="","",A1146-WEEKDAY(A1146,3))</f>
        <v/>
      </c>
      <c r="L1146" s="11"/>
    </row>
    <row r="1147" customFormat="false" ht="15" hidden="false" customHeight="false" outlineLevel="0" collapsed="false">
      <c r="A1147" s="10"/>
      <c r="B1147" s="11"/>
      <c r="C1147" s="11"/>
      <c r="D1147" s="11"/>
      <c r="E1147" s="11"/>
      <c r="F1147" s="11"/>
      <c r="G1147" s="11"/>
      <c r="H1147" s="15" t="str">
        <f aca="false">IF(OR(D1147="",F1147=""),"",IF(F1147&lt;=1,D1147,D1147*(1+F1147/30)))</f>
        <v/>
      </c>
      <c r="I1147" s="15" t="str">
        <f aca="false">IF(OR(D1147="",F1147="",G1147=""),"",IF(F1147+MAX(0,10-G1147)&lt;=1,D1147,D1147*(1+(F1147+MAX(0,10-G1147))/30)))</f>
        <v/>
      </c>
      <c r="J1147" s="16" t="str">
        <f aca="false">IF(A1147="","",IF(AND(C1147="yes",N(G1147)&gt;=7),N(E1147),0))</f>
        <v/>
      </c>
      <c r="K1147" s="17" t="str">
        <f aca="false">IF(A1147="","",A1147-WEEKDAY(A1147,3))</f>
        <v/>
      </c>
      <c r="L1147" s="11"/>
    </row>
    <row r="1148" customFormat="false" ht="15" hidden="false" customHeight="false" outlineLevel="0" collapsed="false">
      <c r="A1148" s="10"/>
      <c r="B1148" s="11"/>
      <c r="C1148" s="11"/>
      <c r="D1148" s="11"/>
      <c r="E1148" s="11"/>
      <c r="F1148" s="11"/>
      <c r="G1148" s="11"/>
      <c r="H1148" s="15" t="str">
        <f aca="false">IF(OR(D1148="",F1148=""),"",IF(F1148&lt;=1,D1148,D1148*(1+F1148/30)))</f>
        <v/>
      </c>
      <c r="I1148" s="15" t="str">
        <f aca="false">IF(OR(D1148="",F1148="",G1148=""),"",IF(F1148+MAX(0,10-G1148)&lt;=1,D1148,D1148*(1+(F1148+MAX(0,10-G1148))/30)))</f>
        <v/>
      </c>
      <c r="J1148" s="16" t="str">
        <f aca="false">IF(A1148="","",IF(AND(C1148="yes",N(G1148)&gt;=7),N(E1148),0))</f>
        <v/>
      </c>
      <c r="K1148" s="17" t="str">
        <f aca="false">IF(A1148="","",A1148-WEEKDAY(A1148,3))</f>
        <v/>
      </c>
      <c r="L1148" s="11"/>
    </row>
    <row r="1149" customFormat="false" ht="15" hidden="false" customHeight="false" outlineLevel="0" collapsed="false">
      <c r="A1149" s="10"/>
      <c r="B1149" s="11"/>
      <c r="C1149" s="11"/>
      <c r="D1149" s="11"/>
      <c r="E1149" s="11"/>
      <c r="F1149" s="11"/>
      <c r="G1149" s="11"/>
      <c r="H1149" s="15" t="str">
        <f aca="false">IF(OR(D1149="",F1149=""),"",IF(F1149&lt;=1,D1149,D1149*(1+F1149/30)))</f>
        <v/>
      </c>
      <c r="I1149" s="15" t="str">
        <f aca="false">IF(OR(D1149="",F1149="",G1149=""),"",IF(F1149+MAX(0,10-G1149)&lt;=1,D1149,D1149*(1+(F1149+MAX(0,10-G1149))/30)))</f>
        <v/>
      </c>
      <c r="J1149" s="16" t="str">
        <f aca="false">IF(A1149="","",IF(AND(C1149="yes",N(G1149)&gt;=7),N(E1149),0))</f>
        <v/>
      </c>
      <c r="K1149" s="17" t="str">
        <f aca="false">IF(A1149="","",A1149-WEEKDAY(A1149,3))</f>
        <v/>
      </c>
      <c r="L1149" s="11"/>
    </row>
    <row r="1150" customFormat="false" ht="15" hidden="false" customHeight="false" outlineLevel="0" collapsed="false">
      <c r="A1150" s="10"/>
      <c r="B1150" s="11"/>
      <c r="C1150" s="11"/>
      <c r="D1150" s="11"/>
      <c r="E1150" s="11"/>
      <c r="F1150" s="11"/>
      <c r="G1150" s="11"/>
      <c r="H1150" s="15" t="str">
        <f aca="false">IF(OR(D1150="",F1150=""),"",IF(F1150&lt;=1,D1150,D1150*(1+F1150/30)))</f>
        <v/>
      </c>
      <c r="I1150" s="15" t="str">
        <f aca="false">IF(OR(D1150="",F1150="",G1150=""),"",IF(F1150+MAX(0,10-G1150)&lt;=1,D1150,D1150*(1+(F1150+MAX(0,10-G1150))/30)))</f>
        <v/>
      </c>
      <c r="J1150" s="16" t="str">
        <f aca="false">IF(A1150="","",IF(AND(C1150="yes",N(G1150)&gt;=7),N(E1150),0))</f>
        <v/>
      </c>
      <c r="K1150" s="17" t="str">
        <f aca="false">IF(A1150="","",A1150-WEEKDAY(A1150,3))</f>
        <v/>
      </c>
      <c r="L1150" s="11"/>
    </row>
    <row r="1151" customFormat="false" ht="15" hidden="false" customHeight="false" outlineLevel="0" collapsed="false">
      <c r="A1151" s="10"/>
      <c r="B1151" s="11"/>
      <c r="C1151" s="11"/>
      <c r="D1151" s="11"/>
      <c r="E1151" s="11"/>
      <c r="F1151" s="11"/>
      <c r="G1151" s="11"/>
      <c r="H1151" s="15" t="str">
        <f aca="false">IF(OR(D1151="",F1151=""),"",IF(F1151&lt;=1,D1151,D1151*(1+F1151/30)))</f>
        <v/>
      </c>
      <c r="I1151" s="15" t="str">
        <f aca="false">IF(OR(D1151="",F1151="",G1151=""),"",IF(F1151+MAX(0,10-G1151)&lt;=1,D1151,D1151*(1+(F1151+MAX(0,10-G1151))/30)))</f>
        <v/>
      </c>
      <c r="J1151" s="16" t="str">
        <f aca="false">IF(A1151="","",IF(AND(C1151="yes",N(G1151)&gt;=7),N(E1151),0))</f>
        <v/>
      </c>
      <c r="K1151" s="17" t="str">
        <f aca="false">IF(A1151="","",A1151-WEEKDAY(A1151,3))</f>
        <v/>
      </c>
      <c r="L1151" s="11"/>
    </row>
    <row r="1152" customFormat="false" ht="15" hidden="false" customHeight="false" outlineLevel="0" collapsed="false">
      <c r="A1152" s="10"/>
      <c r="B1152" s="11"/>
      <c r="C1152" s="11"/>
      <c r="D1152" s="11"/>
      <c r="E1152" s="11"/>
      <c r="F1152" s="11"/>
      <c r="G1152" s="11"/>
      <c r="H1152" s="15" t="str">
        <f aca="false">IF(OR(D1152="",F1152=""),"",IF(F1152&lt;=1,D1152,D1152*(1+F1152/30)))</f>
        <v/>
      </c>
      <c r="I1152" s="15" t="str">
        <f aca="false">IF(OR(D1152="",F1152="",G1152=""),"",IF(F1152+MAX(0,10-G1152)&lt;=1,D1152,D1152*(1+(F1152+MAX(0,10-G1152))/30)))</f>
        <v/>
      </c>
      <c r="J1152" s="16" t="str">
        <f aca="false">IF(A1152="","",IF(AND(C1152="yes",N(G1152)&gt;=7),N(E1152),0))</f>
        <v/>
      </c>
      <c r="K1152" s="17" t="str">
        <f aca="false">IF(A1152="","",A1152-WEEKDAY(A1152,3))</f>
        <v/>
      </c>
      <c r="L1152" s="11"/>
    </row>
    <row r="1153" customFormat="false" ht="15" hidden="false" customHeight="false" outlineLevel="0" collapsed="false">
      <c r="A1153" s="10"/>
      <c r="B1153" s="11"/>
      <c r="C1153" s="11"/>
      <c r="D1153" s="11"/>
      <c r="E1153" s="11"/>
      <c r="F1153" s="11"/>
      <c r="G1153" s="11"/>
      <c r="H1153" s="15" t="str">
        <f aca="false">IF(OR(D1153="",F1153=""),"",IF(F1153&lt;=1,D1153,D1153*(1+F1153/30)))</f>
        <v/>
      </c>
      <c r="I1153" s="15" t="str">
        <f aca="false">IF(OR(D1153="",F1153="",G1153=""),"",IF(F1153+MAX(0,10-G1153)&lt;=1,D1153,D1153*(1+(F1153+MAX(0,10-G1153))/30)))</f>
        <v/>
      </c>
      <c r="J1153" s="16" t="str">
        <f aca="false">IF(A1153="","",IF(AND(C1153="yes",N(G1153)&gt;=7),N(E1153),0))</f>
        <v/>
      </c>
      <c r="K1153" s="17" t="str">
        <f aca="false">IF(A1153="","",A1153-WEEKDAY(A1153,3))</f>
        <v/>
      </c>
      <c r="L1153" s="11"/>
    </row>
    <row r="1154" customFormat="false" ht="15" hidden="false" customHeight="false" outlineLevel="0" collapsed="false">
      <c r="A1154" s="10"/>
      <c r="B1154" s="11"/>
      <c r="C1154" s="11"/>
      <c r="D1154" s="11"/>
      <c r="E1154" s="11"/>
      <c r="F1154" s="11"/>
      <c r="G1154" s="11"/>
      <c r="H1154" s="15" t="str">
        <f aca="false">IF(OR(D1154="",F1154=""),"",IF(F1154&lt;=1,D1154,D1154*(1+F1154/30)))</f>
        <v/>
      </c>
      <c r="I1154" s="15" t="str">
        <f aca="false">IF(OR(D1154="",F1154="",G1154=""),"",IF(F1154+MAX(0,10-G1154)&lt;=1,D1154,D1154*(1+(F1154+MAX(0,10-G1154))/30)))</f>
        <v/>
      </c>
      <c r="J1154" s="16" t="str">
        <f aca="false">IF(A1154="","",IF(AND(C1154="yes",N(G1154)&gt;=7),N(E1154),0))</f>
        <v/>
      </c>
      <c r="K1154" s="17" t="str">
        <f aca="false">IF(A1154="","",A1154-WEEKDAY(A1154,3))</f>
        <v/>
      </c>
      <c r="L1154" s="11"/>
    </row>
    <row r="1155" customFormat="false" ht="15" hidden="false" customHeight="false" outlineLevel="0" collapsed="false">
      <c r="A1155" s="10"/>
      <c r="B1155" s="11"/>
      <c r="C1155" s="11"/>
      <c r="D1155" s="11"/>
      <c r="E1155" s="11"/>
      <c r="F1155" s="11"/>
      <c r="G1155" s="11"/>
      <c r="H1155" s="15" t="str">
        <f aca="false">IF(OR(D1155="",F1155=""),"",IF(F1155&lt;=1,D1155,D1155*(1+F1155/30)))</f>
        <v/>
      </c>
      <c r="I1155" s="15" t="str">
        <f aca="false">IF(OR(D1155="",F1155="",G1155=""),"",IF(F1155+MAX(0,10-G1155)&lt;=1,D1155,D1155*(1+(F1155+MAX(0,10-G1155))/30)))</f>
        <v/>
      </c>
      <c r="J1155" s="16" t="str">
        <f aca="false">IF(A1155="","",IF(AND(C1155="yes",N(G1155)&gt;=7),N(E1155),0))</f>
        <v/>
      </c>
      <c r="K1155" s="17" t="str">
        <f aca="false">IF(A1155="","",A1155-WEEKDAY(A1155,3))</f>
        <v/>
      </c>
      <c r="L1155" s="11"/>
    </row>
    <row r="1156" customFormat="false" ht="15" hidden="false" customHeight="false" outlineLevel="0" collapsed="false">
      <c r="A1156" s="10"/>
      <c r="B1156" s="11"/>
      <c r="C1156" s="11"/>
      <c r="D1156" s="11"/>
      <c r="E1156" s="11"/>
      <c r="F1156" s="11"/>
      <c r="G1156" s="11"/>
      <c r="H1156" s="15" t="str">
        <f aca="false">IF(OR(D1156="",F1156=""),"",IF(F1156&lt;=1,D1156,D1156*(1+F1156/30)))</f>
        <v/>
      </c>
      <c r="I1156" s="15" t="str">
        <f aca="false">IF(OR(D1156="",F1156="",G1156=""),"",IF(F1156+MAX(0,10-G1156)&lt;=1,D1156,D1156*(1+(F1156+MAX(0,10-G1156))/30)))</f>
        <v/>
      </c>
      <c r="J1156" s="16" t="str">
        <f aca="false">IF(A1156="","",IF(AND(C1156="yes",N(G1156)&gt;=7),N(E1156),0))</f>
        <v/>
      </c>
      <c r="K1156" s="17" t="str">
        <f aca="false">IF(A1156="","",A1156-WEEKDAY(A1156,3))</f>
        <v/>
      </c>
      <c r="L1156" s="11"/>
    </row>
    <row r="1157" customFormat="false" ht="15" hidden="false" customHeight="false" outlineLevel="0" collapsed="false">
      <c r="A1157" s="10"/>
      <c r="B1157" s="11"/>
      <c r="C1157" s="11"/>
      <c r="D1157" s="11"/>
      <c r="E1157" s="11"/>
      <c r="F1157" s="11"/>
      <c r="G1157" s="11"/>
      <c r="H1157" s="15" t="str">
        <f aca="false">IF(OR(D1157="",F1157=""),"",IF(F1157&lt;=1,D1157,D1157*(1+F1157/30)))</f>
        <v/>
      </c>
      <c r="I1157" s="15" t="str">
        <f aca="false">IF(OR(D1157="",F1157="",G1157=""),"",IF(F1157+MAX(0,10-G1157)&lt;=1,D1157,D1157*(1+(F1157+MAX(0,10-G1157))/30)))</f>
        <v/>
      </c>
      <c r="J1157" s="16" t="str">
        <f aca="false">IF(A1157="","",IF(AND(C1157="yes",N(G1157)&gt;=7),N(E1157),0))</f>
        <v/>
      </c>
      <c r="K1157" s="17" t="str">
        <f aca="false">IF(A1157="","",A1157-WEEKDAY(A1157,3))</f>
        <v/>
      </c>
      <c r="L1157" s="11"/>
    </row>
    <row r="1158" customFormat="false" ht="15" hidden="false" customHeight="false" outlineLevel="0" collapsed="false">
      <c r="A1158" s="10"/>
      <c r="B1158" s="11"/>
      <c r="C1158" s="11"/>
      <c r="D1158" s="11"/>
      <c r="E1158" s="11"/>
      <c r="F1158" s="11"/>
      <c r="G1158" s="11"/>
      <c r="H1158" s="15" t="str">
        <f aca="false">IF(OR(D1158="",F1158=""),"",IF(F1158&lt;=1,D1158,D1158*(1+F1158/30)))</f>
        <v/>
      </c>
      <c r="I1158" s="15" t="str">
        <f aca="false">IF(OR(D1158="",F1158="",G1158=""),"",IF(F1158+MAX(0,10-G1158)&lt;=1,D1158,D1158*(1+(F1158+MAX(0,10-G1158))/30)))</f>
        <v/>
      </c>
      <c r="J1158" s="16" t="str">
        <f aca="false">IF(A1158="","",IF(AND(C1158="yes",N(G1158)&gt;=7),N(E1158),0))</f>
        <v/>
      </c>
      <c r="K1158" s="17" t="str">
        <f aca="false">IF(A1158="","",A1158-WEEKDAY(A1158,3))</f>
        <v/>
      </c>
      <c r="L1158" s="11"/>
    </row>
    <row r="1159" customFormat="false" ht="15" hidden="false" customHeight="false" outlineLevel="0" collapsed="false">
      <c r="A1159" s="10"/>
      <c r="B1159" s="11"/>
      <c r="C1159" s="11"/>
      <c r="D1159" s="11"/>
      <c r="E1159" s="11"/>
      <c r="F1159" s="11"/>
      <c r="G1159" s="11"/>
      <c r="H1159" s="15" t="str">
        <f aca="false">IF(OR(D1159="",F1159=""),"",IF(F1159&lt;=1,D1159,D1159*(1+F1159/30)))</f>
        <v/>
      </c>
      <c r="I1159" s="15" t="str">
        <f aca="false">IF(OR(D1159="",F1159="",G1159=""),"",IF(F1159+MAX(0,10-G1159)&lt;=1,D1159,D1159*(1+(F1159+MAX(0,10-G1159))/30)))</f>
        <v/>
      </c>
      <c r="J1159" s="16" t="str">
        <f aca="false">IF(A1159="","",IF(AND(C1159="yes",N(G1159)&gt;=7),N(E1159),0))</f>
        <v/>
      </c>
      <c r="K1159" s="17" t="str">
        <f aca="false">IF(A1159="","",A1159-WEEKDAY(A1159,3))</f>
        <v/>
      </c>
      <c r="L1159" s="11"/>
    </row>
    <row r="1160" customFormat="false" ht="15" hidden="false" customHeight="false" outlineLevel="0" collapsed="false">
      <c r="A1160" s="10"/>
      <c r="B1160" s="11"/>
      <c r="C1160" s="11"/>
      <c r="D1160" s="11"/>
      <c r="E1160" s="11"/>
      <c r="F1160" s="11"/>
      <c r="G1160" s="11"/>
      <c r="H1160" s="15" t="str">
        <f aca="false">IF(OR(D1160="",F1160=""),"",IF(F1160&lt;=1,D1160,D1160*(1+F1160/30)))</f>
        <v/>
      </c>
      <c r="I1160" s="15" t="str">
        <f aca="false">IF(OR(D1160="",F1160="",G1160=""),"",IF(F1160+MAX(0,10-G1160)&lt;=1,D1160,D1160*(1+(F1160+MAX(0,10-G1160))/30)))</f>
        <v/>
      </c>
      <c r="J1160" s="16" t="str">
        <f aca="false">IF(A1160="","",IF(AND(C1160="yes",N(G1160)&gt;=7),N(E1160),0))</f>
        <v/>
      </c>
      <c r="K1160" s="17" t="str">
        <f aca="false">IF(A1160="","",A1160-WEEKDAY(A1160,3))</f>
        <v/>
      </c>
      <c r="L1160" s="11"/>
    </row>
    <row r="1161" customFormat="false" ht="15" hidden="false" customHeight="false" outlineLevel="0" collapsed="false">
      <c r="A1161" s="10"/>
      <c r="B1161" s="11"/>
      <c r="C1161" s="11"/>
      <c r="D1161" s="11"/>
      <c r="E1161" s="11"/>
      <c r="F1161" s="11"/>
      <c r="G1161" s="11"/>
      <c r="H1161" s="15" t="str">
        <f aca="false">IF(OR(D1161="",F1161=""),"",IF(F1161&lt;=1,D1161,D1161*(1+F1161/30)))</f>
        <v/>
      </c>
      <c r="I1161" s="15" t="str">
        <f aca="false">IF(OR(D1161="",F1161="",G1161=""),"",IF(F1161+MAX(0,10-G1161)&lt;=1,D1161,D1161*(1+(F1161+MAX(0,10-G1161))/30)))</f>
        <v/>
      </c>
      <c r="J1161" s="16" t="str">
        <f aca="false">IF(A1161="","",IF(AND(C1161="yes",N(G1161)&gt;=7),N(E1161),0))</f>
        <v/>
      </c>
      <c r="K1161" s="17" t="str">
        <f aca="false">IF(A1161="","",A1161-WEEKDAY(A1161,3))</f>
        <v/>
      </c>
      <c r="L1161" s="11"/>
    </row>
    <row r="1162" customFormat="false" ht="15" hidden="false" customHeight="false" outlineLevel="0" collapsed="false">
      <c r="A1162" s="10"/>
      <c r="B1162" s="11"/>
      <c r="C1162" s="11"/>
      <c r="D1162" s="11"/>
      <c r="E1162" s="11"/>
      <c r="F1162" s="11"/>
      <c r="G1162" s="11"/>
      <c r="H1162" s="15" t="str">
        <f aca="false">IF(OR(D1162="",F1162=""),"",IF(F1162&lt;=1,D1162,D1162*(1+F1162/30)))</f>
        <v/>
      </c>
      <c r="I1162" s="15" t="str">
        <f aca="false">IF(OR(D1162="",F1162="",G1162=""),"",IF(F1162+MAX(0,10-G1162)&lt;=1,D1162,D1162*(1+(F1162+MAX(0,10-G1162))/30)))</f>
        <v/>
      </c>
      <c r="J1162" s="16" t="str">
        <f aca="false">IF(A1162="","",IF(AND(C1162="yes",N(G1162)&gt;=7),N(E1162),0))</f>
        <v/>
      </c>
      <c r="K1162" s="17" t="str">
        <f aca="false">IF(A1162="","",A1162-WEEKDAY(A1162,3))</f>
        <v/>
      </c>
      <c r="L1162" s="11"/>
    </row>
    <row r="1163" customFormat="false" ht="15" hidden="false" customHeight="false" outlineLevel="0" collapsed="false">
      <c r="A1163" s="10"/>
      <c r="B1163" s="11"/>
      <c r="C1163" s="11"/>
      <c r="D1163" s="11"/>
      <c r="E1163" s="11"/>
      <c r="F1163" s="11"/>
      <c r="G1163" s="11"/>
      <c r="H1163" s="15" t="str">
        <f aca="false">IF(OR(D1163="",F1163=""),"",IF(F1163&lt;=1,D1163,D1163*(1+F1163/30)))</f>
        <v/>
      </c>
      <c r="I1163" s="15" t="str">
        <f aca="false">IF(OR(D1163="",F1163="",G1163=""),"",IF(F1163+MAX(0,10-G1163)&lt;=1,D1163,D1163*(1+(F1163+MAX(0,10-G1163))/30)))</f>
        <v/>
      </c>
      <c r="J1163" s="16" t="str">
        <f aca="false">IF(A1163="","",IF(AND(C1163="yes",N(G1163)&gt;=7),N(E1163),0))</f>
        <v/>
      </c>
      <c r="K1163" s="17" t="str">
        <f aca="false">IF(A1163="","",A1163-WEEKDAY(A1163,3))</f>
        <v/>
      </c>
      <c r="L1163" s="11"/>
    </row>
    <row r="1164" customFormat="false" ht="15" hidden="false" customHeight="false" outlineLevel="0" collapsed="false">
      <c r="A1164" s="10"/>
      <c r="B1164" s="11"/>
      <c r="C1164" s="11"/>
      <c r="D1164" s="11"/>
      <c r="E1164" s="11"/>
      <c r="F1164" s="11"/>
      <c r="G1164" s="11"/>
      <c r="H1164" s="15" t="str">
        <f aca="false">IF(OR(D1164="",F1164=""),"",IF(F1164&lt;=1,D1164,D1164*(1+F1164/30)))</f>
        <v/>
      </c>
      <c r="I1164" s="15" t="str">
        <f aca="false">IF(OR(D1164="",F1164="",G1164=""),"",IF(F1164+MAX(0,10-G1164)&lt;=1,D1164,D1164*(1+(F1164+MAX(0,10-G1164))/30)))</f>
        <v/>
      </c>
      <c r="J1164" s="16" t="str">
        <f aca="false">IF(A1164="","",IF(AND(C1164="yes",N(G1164)&gt;=7),N(E1164),0))</f>
        <v/>
      </c>
      <c r="K1164" s="17" t="str">
        <f aca="false">IF(A1164="","",A1164-WEEKDAY(A1164,3))</f>
        <v/>
      </c>
      <c r="L1164" s="11"/>
    </row>
    <row r="1165" customFormat="false" ht="15" hidden="false" customHeight="false" outlineLevel="0" collapsed="false">
      <c r="A1165" s="10"/>
      <c r="B1165" s="11"/>
      <c r="C1165" s="11"/>
      <c r="D1165" s="11"/>
      <c r="E1165" s="11"/>
      <c r="F1165" s="11"/>
      <c r="G1165" s="11"/>
      <c r="H1165" s="15" t="str">
        <f aca="false">IF(OR(D1165="",F1165=""),"",IF(F1165&lt;=1,D1165,D1165*(1+F1165/30)))</f>
        <v/>
      </c>
      <c r="I1165" s="15" t="str">
        <f aca="false">IF(OR(D1165="",F1165="",G1165=""),"",IF(F1165+MAX(0,10-G1165)&lt;=1,D1165,D1165*(1+(F1165+MAX(0,10-G1165))/30)))</f>
        <v/>
      </c>
      <c r="J1165" s="16" t="str">
        <f aca="false">IF(A1165="","",IF(AND(C1165="yes",N(G1165)&gt;=7),N(E1165),0))</f>
        <v/>
      </c>
      <c r="K1165" s="17" t="str">
        <f aca="false">IF(A1165="","",A1165-WEEKDAY(A1165,3))</f>
        <v/>
      </c>
      <c r="L1165" s="11"/>
    </row>
    <row r="1166" customFormat="false" ht="15" hidden="false" customHeight="false" outlineLevel="0" collapsed="false">
      <c r="A1166" s="10"/>
      <c r="B1166" s="11"/>
      <c r="C1166" s="11"/>
      <c r="D1166" s="11"/>
      <c r="E1166" s="11"/>
      <c r="F1166" s="11"/>
      <c r="G1166" s="11"/>
      <c r="H1166" s="15" t="str">
        <f aca="false">IF(OR(D1166="",F1166=""),"",IF(F1166&lt;=1,D1166,D1166*(1+F1166/30)))</f>
        <v/>
      </c>
      <c r="I1166" s="15" t="str">
        <f aca="false">IF(OR(D1166="",F1166="",G1166=""),"",IF(F1166+MAX(0,10-G1166)&lt;=1,D1166,D1166*(1+(F1166+MAX(0,10-G1166))/30)))</f>
        <v/>
      </c>
      <c r="J1166" s="16" t="str">
        <f aca="false">IF(A1166="","",IF(AND(C1166="yes",N(G1166)&gt;=7),N(E1166),0))</f>
        <v/>
      </c>
      <c r="K1166" s="17" t="str">
        <f aca="false">IF(A1166="","",A1166-WEEKDAY(A1166,3))</f>
        <v/>
      </c>
      <c r="L1166" s="11"/>
    </row>
    <row r="1167" customFormat="false" ht="15" hidden="false" customHeight="false" outlineLevel="0" collapsed="false">
      <c r="A1167" s="10"/>
      <c r="B1167" s="11"/>
      <c r="C1167" s="11"/>
      <c r="D1167" s="11"/>
      <c r="E1167" s="11"/>
      <c r="F1167" s="11"/>
      <c r="G1167" s="11"/>
      <c r="H1167" s="15" t="str">
        <f aca="false">IF(OR(D1167="",F1167=""),"",IF(F1167&lt;=1,D1167,D1167*(1+F1167/30)))</f>
        <v/>
      </c>
      <c r="I1167" s="15" t="str">
        <f aca="false">IF(OR(D1167="",F1167="",G1167=""),"",IF(F1167+MAX(0,10-G1167)&lt;=1,D1167,D1167*(1+(F1167+MAX(0,10-G1167))/30)))</f>
        <v/>
      </c>
      <c r="J1167" s="16" t="str">
        <f aca="false">IF(A1167="","",IF(AND(C1167="yes",N(G1167)&gt;=7),N(E1167),0))</f>
        <v/>
      </c>
      <c r="K1167" s="17" t="str">
        <f aca="false">IF(A1167="","",A1167-WEEKDAY(A1167,3))</f>
        <v/>
      </c>
      <c r="L1167" s="11"/>
    </row>
    <row r="1168" customFormat="false" ht="15" hidden="false" customHeight="false" outlineLevel="0" collapsed="false">
      <c r="A1168" s="10"/>
      <c r="B1168" s="11"/>
      <c r="C1168" s="11"/>
      <c r="D1168" s="11"/>
      <c r="E1168" s="11"/>
      <c r="F1168" s="11"/>
      <c r="G1168" s="11"/>
      <c r="H1168" s="15" t="str">
        <f aca="false">IF(OR(D1168="",F1168=""),"",IF(F1168&lt;=1,D1168,D1168*(1+F1168/30)))</f>
        <v/>
      </c>
      <c r="I1168" s="15" t="str">
        <f aca="false">IF(OR(D1168="",F1168="",G1168=""),"",IF(F1168+MAX(0,10-G1168)&lt;=1,D1168,D1168*(1+(F1168+MAX(0,10-G1168))/30)))</f>
        <v/>
      </c>
      <c r="J1168" s="16" t="str">
        <f aca="false">IF(A1168="","",IF(AND(C1168="yes",N(G1168)&gt;=7),N(E1168),0))</f>
        <v/>
      </c>
      <c r="K1168" s="17" t="str">
        <f aca="false">IF(A1168="","",A1168-WEEKDAY(A1168,3))</f>
        <v/>
      </c>
      <c r="L1168" s="11"/>
    </row>
    <row r="1169" customFormat="false" ht="15" hidden="false" customHeight="false" outlineLevel="0" collapsed="false">
      <c r="A1169" s="10"/>
      <c r="B1169" s="11"/>
      <c r="C1169" s="11"/>
      <c r="D1169" s="11"/>
      <c r="E1169" s="11"/>
      <c r="F1169" s="11"/>
      <c r="G1169" s="11"/>
      <c r="H1169" s="15" t="str">
        <f aca="false">IF(OR(D1169="",F1169=""),"",IF(F1169&lt;=1,D1169,D1169*(1+F1169/30)))</f>
        <v/>
      </c>
      <c r="I1169" s="15" t="str">
        <f aca="false">IF(OR(D1169="",F1169="",G1169=""),"",IF(F1169+MAX(0,10-G1169)&lt;=1,D1169,D1169*(1+(F1169+MAX(0,10-G1169))/30)))</f>
        <v/>
      </c>
      <c r="J1169" s="16" t="str">
        <f aca="false">IF(A1169="","",IF(AND(C1169="yes",N(G1169)&gt;=7),N(E1169),0))</f>
        <v/>
      </c>
      <c r="K1169" s="17" t="str">
        <f aca="false">IF(A1169="","",A1169-WEEKDAY(A1169,3))</f>
        <v/>
      </c>
      <c r="L1169" s="11"/>
    </row>
    <row r="1170" customFormat="false" ht="15" hidden="false" customHeight="false" outlineLevel="0" collapsed="false">
      <c r="A1170" s="10"/>
      <c r="B1170" s="11"/>
      <c r="C1170" s="11"/>
      <c r="D1170" s="11"/>
      <c r="E1170" s="11"/>
      <c r="F1170" s="11"/>
      <c r="G1170" s="11"/>
      <c r="H1170" s="15" t="str">
        <f aca="false">IF(OR(D1170="",F1170=""),"",IF(F1170&lt;=1,D1170,D1170*(1+F1170/30)))</f>
        <v/>
      </c>
      <c r="I1170" s="15" t="str">
        <f aca="false">IF(OR(D1170="",F1170="",G1170=""),"",IF(F1170+MAX(0,10-G1170)&lt;=1,D1170,D1170*(1+(F1170+MAX(0,10-G1170))/30)))</f>
        <v/>
      </c>
      <c r="J1170" s="16" t="str">
        <f aca="false">IF(A1170="","",IF(AND(C1170="yes",N(G1170)&gt;=7),N(E1170),0))</f>
        <v/>
      </c>
      <c r="K1170" s="17" t="str">
        <f aca="false">IF(A1170="","",A1170-WEEKDAY(A1170,3))</f>
        <v/>
      </c>
      <c r="L1170" s="11"/>
    </row>
    <row r="1171" customFormat="false" ht="15" hidden="false" customHeight="false" outlineLevel="0" collapsed="false">
      <c r="A1171" s="10"/>
      <c r="B1171" s="11"/>
      <c r="C1171" s="11"/>
      <c r="D1171" s="11"/>
      <c r="E1171" s="11"/>
      <c r="F1171" s="11"/>
      <c r="G1171" s="11"/>
      <c r="H1171" s="15" t="str">
        <f aca="false">IF(OR(D1171="",F1171=""),"",IF(F1171&lt;=1,D1171,D1171*(1+F1171/30)))</f>
        <v/>
      </c>
      <c r="I1171" s="15" t="str">
        <f aca="false">IF(OR(D1171="",F1171="",G1171=""),"",IF(F1171+MAX(0,10-G1171)&lt;=1,D1171,D1171*(1+(F1171+MAX(0,10-G1171))/30)))</f>
        <v/>
      </c>
      <c r="J1171" s="16" t="str">
        <f aca="false">IF(A1171="","",IF(AND(C1171="yes",N(G1171)&gt;=7),N(E1171),0))</f>
        <v/>
      </c>
      <c r="K1171" s="17" t="str">
        <f aca="false">IF(A1171="","",A1171-WEEKDAY(A1171,3))</f>
        <v/>
      </c>
      <c r="L1171" s="11"/>
    </row>
    <row r="1172" customFormat="false" ht="15" hidden="false" customHeight="false" outlineLevel="0" collapsed="false">
      <c r="A1172" s="10"/>
      <c r="B1172" s="11"/>
      <c r="C1172" s="11"/>
      <c r="D1172" s="11"/>
      <c r="E1172" s="11"/>
      <c r="F1172" s="11"/>
      <c r="G1172" s="11"/>
      <c r="H1172" s="15" t="str">
        <f aca="false">IF(OR(D1172="",F1172=""),"",IF(F1172&lt;=1,D1172,D1172*(1+F1172/30)))</f>
        <v/>
      </c>
      <c r="I1172" s="15" t="str">
        <f aca="false">IF(OR(D1172="",F1172="",G1172=""),"",IF(F1172+MAX(0,10-G1172)&lt;=1,D1172,D1172*(1+(F1172+MAX(0,10-G1172))/30)))</f>
        <v/>
      </c>
      <c r="J1172" s="16" t="str">
        <f aca="false">IF(A1172="","",IF(AND(C1172="yes",N(G1172)&gt;=7),N(E1172),0))</f>
        <v/>
      </c>
      <c r="K1172" s="17" t="str">
        <f aca="false">IF(A1172="","",A1172-WEEKDAY(A1172,3))</f>
        <v/>
      </c>
      <c r="L1172" s="11"/>
    </row>
    <row r="1173" customFormat="false" ht="15" hidden="false" customHeight="false" outlineLevel="0" collapsed="false">
      <c r="A1173" s="10"/>
      <c r="B1173" s="11"/>
      <c r="C1173" s="11"/>
      <c r="D1173" s="11"/>
      <c r="E1173" s="11"/>
      <c r="F1173" s="11"/>
      <c r="G1173" s="11"/>
      <c r="H1173" s="15" t="str">
        <f aca="false">IF(OR(D1173="",F1173=""),"",IF(F1173&lt;=1,D1173,D1173*(1+F1173/30)))</f>
        <v/>
      </c>
      <c r="I1173" s="15" t="str">
        <f aca="false">IF(OR(D1173="",F1173="",G1173=""),"",IF(F1173+MAX(0,10-G1173)&lt;=1,D1173,D1173*(1+(F1173+MAX(0,10-G1173))/30)))</f>
        <v/>
      </c>
      <c r="J1173" s="16" t="str">
        <f aca="false">IF(A1173="","",IF(AND(C1173="yes",N(G1173)&gt;=7),N(E1173),0))</f>
        <v/>
      </c>
      <c r="K1173" s="17" t="str">
        <f aca="false">IF(A1173="","",A1173-WEEKDAY(A1173,3))</f>
        <v/>
      </c>
      <c r="L1173" s="11"/>
    </row>
    <row r="1174" customFormat="false" ht="15" hidden="false" customHeight="false" outlineLevel="0" collapsed="false">
      <c r="A1174" s="10"/>
      <c r="B1174" s="11"/>
      <c r="C1174" s="11"/>
      <c r="D1174" s="11"/>
      <c r="E1174" s="11"/>
      <c r="F1174" s="11"/>
      <c r="G1174" s="11"/>
      <c r="H1174" s="15" t="str">
        <f aca="false">IF(OR(D1174="",F1174=""),"",IF(F1174&lt;=1,D1174,D1174*(1+F1174/30)))</f>
        <v/>
      </c>
      <c r="I1174" s="15" t="str">
        <f aca="false">IF(OR(D1174="",F1174="",G1174=""),"",IF(F1174+MAX(0,10-G1174)&lt;=1,D1174,D1174*(1+(F1174+MAX(0,10-G1174))/30)))</f>
        <v/>
      </c>
      <c r="J1174" s="16" t="str">
        <f aca="false">IF(A1174="","",IF(AND(C1174="yes",N(G1174)&gt;=7),N(E1174),0))</f>
        <v/>
      </c>
      <c r="K1174" s="17" t="str">
        <f aca="false">IF(A1174="","",A1174-WEEKDAY(A1174,3))</f>
        <v/>
      </c>
      <c r="L1174" s="11"/>
    </row>
    <row r="1175" customFormat="false" ht="15" hidden="false" customHeight="false" outlineLevel="0" collapsed="false">
      <c r="A1175" s="10"/>
      <c r="B1175" s="11"/>
      <c r="C1175" s="11"/>
      <c r="D1175" s="11"/>
      <c r="E1175" s="11"/>
      <c r="F1175" s="11"/>
      <c r="G1175" s="11"/>
      <c r="H1175" s="15" t="str">
        <f aca="false">IF(OR(D1175="",F1175=""),"",IF(F1175&lt;=1,D1175,D1175*(1+F1175/30)))</f>
        <v/>
      </c>
      <c r="I1175" s="15" t="str">
        <f aca="false">IF(OR(D1175="",F1175="",G1175=""),"",IF(F1175+MAX(0,10-G1175)&lt;=1,D1175,D1175*(1+(F1175+MAX(0,10-G1175))/30)))</f>
        <v/>
      </c>
      <c r="J1175" s="16" t="str">
        <f aca="false">IF(A1175="","",IF(AND(C1175="yes",N(G1175)&gt;=7),N(E1175),0))</f>
        <v/>
      </c>
      <c r="K1175" s="17" t="str">
        <f aca="false">IF(A1175="","",A1175-WEEKDAY(A1175,3))</f>
        <v/>
      </c>
      <c r="L1175" s="11"/>
    </row>
    <row r="1176" customFormat="false" ht="15" hidden="false" customHeight="false" outlineLevel="0" collapsed="false">
      <c r="A1176" s="10"/>
      <c r="B1176" s="11"/>
      <c r="C1176" s="11"/>
      <c r="D1176" s="11"/>
      <c r="E1176" s="11"/>
      <c r="F1176" s="11"/>
      <c r="G1176" s="11"/>
      <c r="H1176" s="15" t="str">
        <f aca="false">IF(OR(D1176="",F1176=""),"",IF(F1176&lt;=1,D1176,D1176*(1+F1176/30)))</f>
        <v/>
      </c>
      <c r="I1176" s="15" t="str">
        <f aca="false">IF(OR(D1176="",F1176="",G1176=""),"",IF(F1176+MAX(0,10-G1176)&lt;=1,D1176,D1176*(1+(F1176+MAX(0,10-G1176))/30)))</f>
        <v/>
      </c>
      <c r="J1176" s="16" t="str">
        <f aca="false">IF(A1176="","",IF(AND(C1176="yes",N(G1176)&gt;=7),N(E1176),0))</f>
        <v/>
      </c>
      <c r="K1176" s="17" t="str">
        <f aca="false">IF(A1176="","",A1176-WEEKDAY(A1176,3))</f>
        <v/>
      </c>
      <c r="L1176" s="11"/>
    </row>
    <row r="1177" customFormat="false" ht="15" hidden="false" customHeight="false" outlineLevel="0" collapsed="false">
      <c r="A1177" s="10"/>
      <c r="B1177" s="11"/>
      <c r="C1177" s="11"/>
      <c r="D1177" s="11"/>
      <c r="E1177" s="11"/>
      <c r="F1177" s="11"/>
      <c r="G1177" s="11"/>
      <c r="H1177" s="15" t="str">
        <f aca="false">IF(OR(D1177="",F1177=""),"",IF(F1177&lt;=1,D1177,D1177*(1+F1177/30)))</f>
        <v/>
      </c>
      <c r="I1177" s="15" t="str">
        <f aca="false">IF(OR(D1177="",F1177="",G1177=""),"",IF(F1177+MAX(0,10-G1177)&lt;=1,D1177,D1177*(1+(F1177+MAX(0,10-G1177))/30)))</f>
        <v/>
      </c>
      <c r="J1177" s="16" t="str">
        <f aca="false">IF(A1177="","",IF(AND(C1177="yes",N(G1177)&gt;=7),N(E1177),0))</f>
        <v/>
      </c>
      <c r="K1177" s="17" t="str">
        <f aca="false">IF(A1177="","",A1177-WEEKDAY(A1177,3))</f>
        <v/>
      </c>
      <c r="L1177" s="11"/>
    </row>
    <row r="1178" customFormat="false" ht="15" hidden="false" customHeight="false" outlineLevel="0" collapsed="false">
      <c r="A1178" s="10"/>
      <c r="B1178" s="11"/>
      <c r="C1178" s="11"/>
      <c r="D1178" s="11"/>
      <c r="E1178" s="11"/>
      <c r="F1178" s="11"/>
      <c r="G1178" s="11"/>
      <c r="H1178" s="15" t="str">
        <f aca="false">IF(OR(D1178="",F1178=""),"",IF(F1178&lt;=1,D1178,D1178*(1+F1178/30)))</f>
        <v/>
      </c>
      <c r="I1178" s="15" t="str">
        <f aca="false">IF(OR(D1178="",F1178="",G1178=""),"",IF(F1178+MAX(0,10-G1178)&lt;=1,D1178,D1178*(1+(F1178+MAX(0,10-G1178))/30)))</f>
        <v/>
      </c>
      <c r="J1178" s="16" t="str">
        <f aca="false">IF(A1178="","",IF(AND(C1178="yes",N(G1178)&gt;=7),N(E1178),0))</f>
        <v/>
      </c>
      <c r="K1178" s="17" t="str">
        <f aca="false">IF(A1178="","",A1178-WEEKDAY(A1178,3))</f>
        <v/>
      </c>
      <c r="L1178" s="11"/>
    </row>
    <row r="1179" customFormat="false" ht="15" hidden="false" customHeight="false" outlineLevel="0" collapsed="false">
      <c r="A1179" s="10"/>
      <c r="B1179" s="11"/>
      <c r="C1179" s="11"/>
      <c r="D1179" s="11"/>
      <c r="E1179" s="11"/>
      <c r="F1179" s="11"/>
      <c r="G1179" s="11"/>
      <c r="H1179" s="15" t="str">
        <f aca="false">IF(OR(D1179="",F1179=""),"",IF(F1179&lt;=1,D1179,D1179*(1+F1179/30)))</f>
        <v/>
      </c>
      <c r="I1179" s="15" t="str">
        <f aca="false">IF(OR(D1179="",F1179="",G1179=""),"",IF(F1179+MAX(0,10-G1179)&lt;=1,D1179,D1179*(1+(F1179+MAX(0,10-G1179))/30)))</f>
        <v/>
      </c>
      <c r="J1179" s="16" t="str">
        <f aca="false">IF(A1179="","",IF(AND(C1179="yes",N(G1179)&gt;=7),N(E1179),0))</f>
        <v/>
      </c>
      <c r="K1179" s="17" t="str">
        <f aca="false">IF(A1179="","",A1179-WEEKDAY(A1179,3))</f>
        <v/>
      </c>
      <c r="L1179" s="11"/>
    </row>
    <row r="1180" customFormat="false" ht="15" hidden="false" customHeight="false" outlineLevel="0" collapsed="false">
      <c r="A1180" s="10"/>
      <c r="B1180" s="11"/>
      <c r="C1180" s="11"/>
      <c r="D1180" s="11"/>
      <c r="E1180" s="11"/>
      <c r="F1180" s="11"/>
      <c r="G1180" s="11"/>
      <c r="H1180" s="15" t="str">
        <f aca="false">IF(OR(D1180="",F1180=""),"",IF(F1180&lt;=1,D1180,D1180*(1+F1180/30)))</f>
        <v/>
      </c>
      <c r="I1180" s="15" t="str">
        <f aca="false">IF(OR(D1180="",F1180="",G1180=""),"",IF(F1180+MAX(0,10-G1180)&lt;=1,D1180,D1180*(1+(F1180+MAX(0,10-G1180))/30)))</f>
        <v/>
      </c>
      <c r="J1180" s="16" t="str">
        <f aca="false">IF(A1180="","",IF(AND(C1180="yes",N(G1180)&gt;=7),N(E1180),0))</f>
        <v/>
      </c>
      <c r="K1180" s="17" t="str">
        <f aca="false">IF(A1180="","",A1180-WEEKDAY(A1180,3))</f>
        <v/>
      </c>
      <c r="L1180" s="11"/>
    </row>
    <row r="1181" customFormat="false" ht="15" hidden="false" customHeight="false" outlineLevel="0" collapsed="false">
      <c r="A1181" s="10"/>
      <c r="B1181" s="11"/>
      <c r="C1181" s="11"/>
      <c r="D1181" s="11"/>
      <c r="E1181" s="11"/>
      <c r="F1181" s="11"/>
      <c r="G1181" s="11"/>
      <c r="H1181" s="15" t="str">
        <f aca="false">IF(OR(D1181="",F1181=""),"",IF(F1181&lt;=1,D1181,D1181*(1+F1181/30)))</f>
        <v/>
      </c>
      <c r="I1181" s="15" t="str">
        <f aca="false">IF(OR(D1181="",F1181="",G1181=""),"",IF(F1181+MAX(0,10-G1181)&lt;=1,D1181,D1181*(1+(F1181+MAX(0,10-G1181))/30)))</f>
        <v/>
      </c>
      <c r="J1181" s="16" t="str">
        <f aca="false">IF(A1181="","",IF(AND(C1181="yes",N(G1181)&gt;=7),N(E1181),0))</f>
        <v/>
      </c>
      <c r="K1181" s="17" t="str">
        <f aca="false">IF(A1181="","",A1181-WEEKDAY(A1181,3))</f>
        <v/>
      </c>
      <c r="L1181" s="11"/>
    </row>
    <row r="1182" customFormat="false" ht="15" hidden="false" customHeight="false" outlineLevel="0" collapsed="false">
      <c r="A1182" s="10"/>
      <c r="B1182" s="11"/>
      <c r="C1182" s="11"/>
      <c r="D1182" s="11"/>
      <c r="E1182" s="11"/>
      <c r="F1182" s="11"/>
      <c r="G1182" s="11"/>
      <c r="H1182" s="15" t="str">
        <f aca="false">IF(OR(D1182="",F1182=""),"",IF(F1182&lt;=1,D1182,D1182*(1+F1182/30)))</f>
        <v/>
      </c>
      <c r="I1182" s="15" t="str">
        <f aca="false">IF(OR(D1182="",F1182="",G1182=""),"",IF(F1182+MAX(0,10-G1182)&lt;=1,D1182,D1182*(1+(F1182+MAX(0,10-G1182))/30)))</f>
        <v/>
      </c>
      <c r="J1182" s="16" t="str">
        <f aca="false">IF(A1182="","",IF(AND(C1182="yes",N(G1182)&gt;=7),N(E1182),0))</f>
        <v/>
      </c>
      <c r="K1182" s="17" t="str">
        <f aca="false">IF(A1182="","",A1182-WEEKDAY(A1182,3))</f>
        <v/>
      </c>
      <c r="L1182" s="11"/>
    </row>
    <row r="1183" customFormat="false" ht="15" hidden="false" customHeight="false" outlineLevel="0" collapsed="false">
      <c r="A1183" s="10"/>
      <c r="B1183" s="11"/>
      <c r="C1183" s="11"/>
      <c r="D1183" s="11"/>
      <c r="E1183" s="11"/>
      <c r="F1183" s="11"/>
      <c r="G1183" s="11"/>
      <c r="H1183" s="15" t="str">
        <f aca="false">IF(OR(D1183="",F1183=""),"",IF(F1183&lt;=1,D1183,D1183*(1+F1183/30)))</f>
        <v/>
      </c>
      <c r="I1183" s="15" t="str">
        <f aca="false">IF(OR(D1183="",F1183="",G1183=""),"",IF(F1183+MAX(0,10-G1183)&lt;=1,D1183,D1183*(1+(F1183+MAX(0,10-G1183))/30)))</f>
        <v/>
      </c>
      <c r="J1183" s="16" t="str">
        <f aca="false">IF(A1183="","",IF(AND(C1183="yes",N(G1183)&gt;=7),N(E1183),0))</f>
        <v/>
      </c>
      <c r="K1183" s="17" t="str">
        <f aca="false">IF(A1183="","",A1183-WEEKDAY(A1183,3))</f>
        <v/>
      </c>
      <c r="L1183" s="11"/>
    </row>
    <row r="1184" customFormat="false" ht="15" hidden="false" customHeight="false" outlineLevel="0" collapsed="false">
      <c r="A1184" s="10"/>
      <c r="B1184" s="11"/>
      <c r="C1184" s="11"/>
      <c r="D1184" s="11"/>
      <c r="E1184" s="11"/>
      <c r="F1184" s="11"/>
      <c r="G1184" s="11"/>
      <c r="H1184" s="15" t="str">
        <f aca="false">IF(OR(D1184="",F1184=""),"",IF(F1184&lt;=1,D1184,D1184*(1+F1184/30)))</f>
        <v/>
      </c>
      <c r="I1184" s="15" t="str">
        <f aca="false">IF(OR(D1184="",F1184="",G1184=""),"",IF(F1184+MAX(0,10-G1184)&lt;=1,D1184,D1184*(1+(F1184+MAX(0,10-G1184))/30)))</f>
        <v/>
      </c>
      <c r="J1184" s="16" t="str">
        <f aca="false">IF(A1184="","",IF(AND(C1184="yes",N(G1184)&gt;=7),N(E1184),0))</f>
        <v/>
      </c>
      <c r="K1184" s="17" t="str">
        <f aca="false">IF(A1184="","",A1184-WEEKDAY(A1184,3))</f>
        <v/>
      </c>
      <c r="L1184" s="11"/>
    </row>
    <row r="1185" customFormat="false" ht="15" hidden="false" customHeight="false" outlineLevel="0" collapsed="false">
      <c r="A1185" s="10"/>
      <c r="B1185" s="11"/>
      <c r="C1185" s="11"/>
      <c r="D1185" s="11"/>
      <c r="E1185" s="11"/>
      <c r="F1185" s="11"/>
      <c r="G1185" s="11"/>
      <c r="H1185" s="15" t="str">
        <f aca="false">IF(OR(D1185="",F1185=""),"",IF(F1185&lt;=1,D1185,D1185*(1+F1185/30)))</f>
        <v/>
      </c>
      <c r="I1185" s="15" t="str">
        <f aca="false">IF(OR(D1185="",F1185="",G1185=""),"",IF(F1185+MAX(0,10-G1185)&lt;=1,D1185,D1185*(1+(F1185+MAX(0,10-G1185))/30)))</f>
        <v/>
      </c>
      <c r="J1185" s="16" t="str">
        <f aca="false">IF(A1185="","",IF(AND(C1185="yes",N(G1185)&gt;=7),N(E1185),0))</f>
        <v/>
      </c>
      <c r="K1185" s="17" t="str">
        <f aca="false">IF(A1185="","",A1185-WEEKDAY(A1185,3))</f>
        <v/>
      </c>
      <c r="L1185" s="11"/>
    </row>
    <row r="1186" customFormat="false" ht="15" hidden="false" customHeight="false" outlineLevel="0" collapsed="false">
      <c r="A1186" s="10"/>
      <c r="B1186" s="11"/>
      <c r="C1186" s="11"/>
      <c r="D1186" s="11"/>
      <c r="E1186" s="11"/>
      <c r="F1186" s="11"/>
      <c r="G1186" s="11"/>
      <c r="H1186" s="15" t="str">
        <f aca="false">IF(OR(D1186="",F1186=""),"",IF(F1186&lt;=1,D1186,D1186*(1+F1186/30)))</f>
        <v/>
      </c>
      <c r="I1186" s="15" t="str">
        <f aca="false">IF(OR(D1186="",F1186="",G1186=""),"",IF(F1186+MAX(0,10-G1186)&lt;=1,D1186,D1186*(1+(F1186+MAX(0,10-G1186))/30)))</f>
        <v/>
      </c>
      <c r="J1186" s="16" t="str">
        <f aca="false">IF(A1186="","",IF(AND(C1186="yes",N(G1186)&gt;=7),N(E1186),0))</f>
        <v/>
      </c>
      <c r="K1186" s="17" t="str">
        <f aca="false">IF(A1186="","",A1186-WEEKDAY(A1186,3))</f>
        <v/>
      </c>
      <c r="L1186" s="11"/>
    </row>
    <row r="1187" customFormat="false" ht="15" hidden="false" customHeight="false" outlineLevel="0" collapsed="false">
      <c r="A1187" s="10"/>
      <c r="B1187" s="11"/>
      <c r="C1187" s="11"/>
      <c r="D1187" s="11"/>
      <c r="E1187" s="11"/>
      <c r="F1187" s="11"/>
      <c r="G1187" s="11"/>
      <c r="H1187" s="15" t="str">
        <f aca="false">IF(OR(D1187="",F1187=""),"",IF(F1187&lt;=1,D1187,D1187*(1+F1187/30)))</f>
        <v/>
      </c>
      <c r="I1187" s="15" t="str">
        <f aca="false">IF(OR(D1187="",F1187="",G1187=""),"",IF(F1187+MAX(0,10-G1187)&lt;=1,D1187,D1187*(1+(F1187+MAX(0,10-G1187))/30)))</f>
        <v/>
      </c>
      <c r="J1187" s="16" t="str">
        <f aca="false">IF(A1187="","",IF(AND(C1187="yes",N(G1187)&gt;=7),N(E1187),0))</f>
        <v/>
      </c>
      <c r="K1187" s="17" t="str">
        <f aca="false">IF(A1187="","",A1187-WEEKDAY(A1187,3))</f>
        <v/>
      </c>
      <c r="L1187" s="11"/>
    </row>
    <row r="1188" customFormat="false" ht="15" hidden="false" customHeight="false" outlineLevel="0" collapsed="false">
      <c r="A1188" s="10"/>
      <c r="B1188" s="11"/>
      <c r="C1188" s="11"/>
      <c r="D1188" s="11"/>
      <c r="E1188" s="11"/>
      <c r="F1188" s="11"/>
      <c r="G1188" s="11"/>
      <c r="H1188" s="15" t="str">
        <f aca="false">IF(OR(D1188="",F1188=""),"",IF(F1188&lt;=1,D1188,D1188*(1+F1188/30)))</f>
        <v/>
      </c>
      <c r="I1188" s="15" t="str">
        <f aca="false">IF(OR(D1188="",F1188="",G1188=""),"",IF(F1188+MAX(0,10-G1188)&lt;=1,D1188,D1188*(1+(F1188+MAX(0,10-G1188))/30)))</f>
        <v/>
      </c>
      <c r="J1188" s="16" t="str">
        <f aca="false">IF(A1188="","",IF(AND(C1188="yes",N(G1188)&gt;=7),N(E1188),0))</f>
        <v/>
      </c>
      <c r="K1188" s="17" t="str">
        <f aca="false">IF(A1188="","",A1188-WEEKDAY(A1188,3))</f>
        <v/>
      </c>
      <c r="L1188" s="11"/>
    </row>
    <row r="1189" customFormat="false" ht="15" hidden="false" customHeight="false" outlineLevel="0" collapsed="false">
      <c r="A1189" s="10"/>
      <c r="B1189" s="11"/>
      <c r="C1189" s="11"/>
      <c r="D1189" s="11"/>
      <c r="E1189" s="11"/>
      <c r="F1189" s="11"/>
      <c r="G1189" s="11"/>
      <c r="H1189" s="15" t="str">
        <f aca="false">IF(OR(D1189="",F1189=""),"",IF(F1189&lt;=1,D1189,D1189*(1+F1189/30)))</f>
        <v/>
      </c>
      <c r="I1189" s="15" t="str">
        <f aca="false">IF(OR(D1189="",F1189="",G1189=""),"",IF(F1189+MAX(0,10-G1189)&lt;=1,D1189,D1189*(1+(F1189+MAX(0,10-G1189))/30)))</f>
        <v/>
      </c>
      <c r="J1189" s="16" t="str">
        <f aca="false">IF(A1189="","",IF(AND(C1189="yes",N(G1189)&gt;=7),N(E1189),0))</f>
        <v/>
      </c>
      <c r="K1189" s="17" t="str">
        <f aca="false">IF(A1189="","",A1189-WEEKDAY(A1189,3))</f>
        <v/>
      </c>
      <c r="L1189" s="11"/>
    </row>
    <row r="1190" customFormat="false" ht="15" hidden="false" customHeight="false" outlineLevel="0" collapsed="false">
      <c r="A1190" s="10"/>
      <c r="B1190" s="11"/>
      <c r="C1190" s="11"/>
      <c r="D1190" s="11"/>
      <c r="E1190" s="11"/>
      <c r="F1190" s="11"/>
      <c r="G1190" s="11"/>
      <c r="H1190" s="15" t="str">
        <f aca="false">IF(OR(D1190="",F1190=""),"",IF(F1190&lt;=1,D1190,D1190*(1+F1190/30)))</f>
        <v/>
      </c>
      <c r="I1190" s="15" t="str">
        <f aca="false">IF(OR(D1190="",F1190="",G1190=""),"",IF(F1190+MAX(0,10-G1190)&lt;=1,D1190,D1190*(1+(F1190+MAX(0,10-G1190))/30)))</f>
        <v/>
      </c>
      <c r="J1190" s="16" t="str">
        <f aca="false">IF(A1190="","",IF(AND(C1190="yes",N(G1190)&gt;=7),N(E1190),0))</f>
        <v/>
      </c>
      <c r="K1190" s="17" t="str">
        <f aca="false">IF(A1190="","",A1190-WEEKDAY(A1190,3))</f>
        <v/>
      </c>
      <c r="L1190" s="11"/>
    </row>
    <row r="1191" customFormat="false" ht="15" hidden="false" customHeight="false" outlineLevel="0" collapsed="false">
      <c r="A1191" s="10"/>
      <c r="B1191" s="11"/>
      <c r="C1191" s="11"/>
      <c r="D1191" s="11"/>
      <c r="E1191" s="11"/>
      <c r="F1191" s="11"/>
      <c r="G1191" s="11"/>
      <c r="H1191" s="15" t="str">
        <f aca="false">IF(OR(D1191="",F1191=""),"",IF(F1191&lt;=1,D1191,D1191*(1+F1191/30)))</f>
        <v/>
      </c>
      <c r="I1191" s="15" t="str">
        <f aca="false">IF(OR(D1191="",F1191="",G1191=""),"",IF(F1191+MAX(0,10-G1191)&lt;=1,D1191,D1191*(1+(F1191+MAX(0,10-G1191))/30)))</f>
        <v/>
      </c>
      <c r="J1191" s="16" t="str">
        <f aca="false">IF(A1191="","",IF(AND(C1191="yes",N(G1191)&gt;=7),N(E1191),0))</f>
        <v/>
      </c>
      <c r="K1191" s="17" t="str">
        <f aca="false">IF(A1191="","",A1191-WEEKDAY(A1191,3))</f>
        <v/>
      </c>
      <c r="L1191" s="11"/>
    </row>
    <row r="1192" customFormat="false" ht="15" hidden="false" customHeight="false" outlineLevel="0" collapsed="false">
      <c r="A1192" s="10"/>
      <c r="B1192" s="11"/>
      <c r="C1192" s="11"/>
      <c r="D1192" s="11"/>
      <c r="E1192" s="11"/>
      <c r="F1192" s="11"/>
      <c r="G1192" s="11"/>
      <c r="H1192" s="15" t="str">
        <f aca="false">IF(OR(D1192="",F1192=""),"",IF(F1192&lt;=1,D1192,D1192*(1+F1192/30)))</f>
        <v/>
      </c>
      <c r="I1192" s="15" t="str">
        <f aca="false">IF(OR(D1192="",F1192="",G1192=""),"",IF(F1192+MAX(0,10-G1192)&lt;=1,D1192,D1192*(1+(F1192+MAX(0,10-G1192))/30)))</f>
        <v/>
      </c>
      <c r="J1192" s="16" t="str">
        <f aca="false">IF(A1192="","",IF(AND(C1192="yes",N(G1192)&gt;=7),N(E1192),0))</f>
        <v/>
      </c>
      <c r="K1192" s="17" t="str">
        <f aca="false">IF(A1192="","",A1192-WEEKDAY(A1192,3))</f>
        <v/>
      </c>
      <c r="L1192" s="11"/>
    </row>
    <row r="1193" customFormat="false" ht="15" hidden="false" customHeight="false" outlineLevel="0" collapsed="false">
      <c r="A1193" s="10"/>
      <c r="B1193" s="11"/>
      <c r="C1193" s="11"/>
      <c r="D1193" s="11"/>
      <c r="E1193" s="11"/>
      <c r="F1193" s="11"/>
      <c r="G1193" s="11"/>
      <c r="H1193" s="15" t="str">
        <f aca="false">IF(OR(D1193="",F1193=""),"",IF(F1193&lt;=1,D1193,D1193*(1+F1193/30)))</f>
        <v/>
      </c>
      <c r="I1193" s="15" t="str">
        <f aca="false">IF(OR(D1193="",F1193="",G1193=""),"",IF(F1193+MAX(0,10-G1193)&lt;=1,D1193,D1193*(1+(F1193+MAX(0,10-G1193))/30)))</f>
        <v/>
      </c>
      <c r="J1193" s="16" t="str">
        <f aca="false">IF(A1193="","",IF(AND(C1193="yes",N(G1193)&gt;=7),N(E1193),0))</f>
        <v/>
      </c>
      <c r="K1193" s="17" t="str">
        <f aca="false">IF(A1193="","",A1193-WEEKDAY(A1193,3))</f>
        <v/>
      </c>
      <c r="L1193" s="11"/>
    </row>
    <row r="1194" customFormat="false" ht="15" hidden="false" customHeight="false" outlineLevel="0" collapsed="false">
      <c r="A1194" s="10"/>
      <c r="B1194" s="11"/>
      <c r="C1194" s="11"/>
      <c r="D1194" s="11"/>
      <c r="E1194" s="11"/>
      <c r="F1194" s="11"/>
      <c r="G1194" s="11"/>
      <c r="H1194" s="15" t="str">
        <f aca="false">IF(OR(D1194="",F1194=""),"",IF(F1194&lt;=1,D1194,D1194*(1+F1194/30)))</f>
        <v/>
      </c>
      <c r="I1194" s="15" t="str">
        <f aca="false">IF(OR(D1194="",F1194="",G1194=""),"",IF(F1194+MAX(0,10-G1194)&lt;=1,D1194,D1194*(1+(F1194+MAX(0,10-G1194))/30)))</f>
        <v/>
      </c>
      <c r="J1194" s="16" t="str">
        <f aca="false">IF(A1194="","",IF(AND(C1194="yes",N(G1194)&gt;=7),N(E1194),0))</f>
        <v/>
      </c>
      <c r="K1194" s="17" t="str">
        <f aca="false">IF(A1194="","",A1194-WEEKDAY(A1194,3))</f>
        <v/>
      </c>
      <c r="L1194" s="11"/>
    </row>
    <row r="1195" customFormat="false" ht="15" hidden="false" customHeight="false" outlineLevel="0" collapsed="false">
      <c r="A1195" s="10"/>
      <c r="B1195" s="11"/>
      <c r="C1195" s="11"/>
      <c r="D1195" s="11"/>
      <c r="E1195" s="11"/>
      <c r="F1195" s="11"/>
      <c r="G1195" s="11"/>
      <c r="H1195" s="15" t="str">
        <f aca="false">IF(OR(D1195="",F1195=""),"",IF(F1195&lt;=1,D1195,D1195*(1+F1195/30)))</f>
        <v/>
      </c>
      <c r="I1195" s="15" t="str">
        <f aca="false">IF(OR(D1195="",F1195="",G1195=""),"",IF(F1195+MAX(0,10-G1195)&lt;=1,D1195,D1195*(1+(F1195+MAX(0,10-G1195))/30)))</f>
        <v/>
      </c>
      <c r="J1195" s="16" t="str">
        <f aca="false">IF(A1195="","",IF(AND(C1195="yes",N(G1195)&gt;=7),N(E1195),0))</f>
        <v/>
      </c>
      <c r="K1195" s="17" t="str">
        <f aca="false">IF(A1195="","",A1195-WEEKDAY(A1195,3))</f>
        <v/>
      </c>
      <c r="L1195" s="11"/>
    </row>
    <row r="1196" customFormat="false" ht="15" hidden="false" customHeight="false" outlineLevel="0" collapsed="false">
      <c r="A1196" s="10"/>
      <c r="B1196" s="11"/>
      <c r="C1196" s="11"/>
      <c r="D1196" s="11"/>
      <c r="E1196" s="11"/>
      <c r="F1196" s="11"/>
      <c r="G1196" s="11"/>
      <c r="H1196" s="15" t="str">
        <f aca="false">IF(OR(D1196="",F1196=""),"",IF(F1196&lt;=1,D1196,D1196*(1+F1196/30)))</f>
        <v/>
      </c>
      <c r="I1196" s="15" t="str">
        <f aca="false">IF(OR(D1196="",F1196="",G1196=""),"",IF(F1196+MAX(0,10-G1196)&lt;=1,D1196,D1196*(1+(F1196+MAX(0,10-G1196))/30)))</f>
        <v/>
      </c>
      <c r="J1196" s="16" t="str">
        <f aca="false">IF(A1196="","",IF(AND(C1196="yes",N(G1196)&gt;=7),N(E1196),0))</f>
        <v/>
      </c>
      <c r="K1196" s="17" t="str">
        <f aca="false">IF(A1196="","",A1196-WEEKDAY(A1196,3))</f>
        <v/>
      </c>
      <c r="L1196" s="11"/>
    </row>
    <row r="1197" customFormat="false" ht="15" hidden="false" customHeight="false" outlineLevel="0" collapsed="false">
      <c r="A1197" s="10"/>
      <c r="B1197" s="11"/>
      <c r="C1197" s="11"/>
      <c r="D1197" s="11"/>
      <c r="E1197" s="11"/>
      <c r="F1197" s="11"/>
      <c r="G1197" s="11"/>
      <c r="H1197" s="15" t="str">
        <f aca="false">IF(OR(D1197="",F1197=""),"",IF(F1197&lt;=1,D1197,D1197*(1+F1197/30)))</f>
        <v/>
      </c>
      <c r="I1197" s="15" t="str">
        <f aca="false">IF(OR(D1197="",F1197="",G1197=""),"",IF(F1197+MAX(0,10-G1197)&lt;=1,D1197,D1197*(1+(F1197+MAX(0,10-G1197))/30)))</f>
        <v/>
      </c>
      <c r="J1197" s="16" t="str">
        <f aca="false">IF(A1197="","",IF(AND(C1197="yes",N(G1197)&gt;=7),N(E1197),0))</f>
        <v/>
      </c>
      <c r="K1197" s="17" t="str">
        <f aca="false">IF(A1197="","",A1197-WEEKDAY(A1197,3))</f>
        <v/>
      </c>
      <c r="L1197" s="11"/>
    </row>
    <row r="1198" customFormat="false" ht="15" hidden="false" customHeight="false" outlineLevel="0" collapsed="false">
      <c r="A1198" s="10"/>
      <c r="B1198" s="11"/>
      <c r="C1198" s="11"/>
      <c r="D1198" s="11"/>
      <c r="E1198" s="11"/>
      <c r="F1198" s="11"/>
      <c r="G1198" s="11"/>
      <c r="H1198" s="15" t="str">
        <f aca="false">IF(OR(D1198="",F1198=""),"",IF(F1198&lt;=1,D1198,D1198*(1+F1198/30)))</f>
        <v/>
      </c>
      <c r="I1198" s="15" t="str">
        <f aca="false">IF(OR(D1198="",F1198="",G1198=""),"",IF(F1198+MAX(0,10-G1198)&lt;=1,D1198,D1198*(1+(F1198+MAX(0,10-G1198))/30)))</f>
        <v/>
      </c>
      <c r="J1198" s="16" t="str">
        <f aca="false">IF(A1198="","",IF(AND(C1198="yes",N(G1198)&gt;=7),N(E1198),0))</f>
        <v/>
      </c>
      <c r="K1198" s="17" t="str">
        <f aca="false">IF(A1198="","",A1198-WEEKDAY(A1198,3))</f>
        <v/>
      </c>
      <c r="L1198" s="11"/>
    </row>
    <row r="1199" customFormat="false" ht="15" hidden="false" customHeight="false" outlineLevel="0" collapsed="false">
      <c r="A1199" s="10"/>
      <c r="B1199" s="11"/>
      <c r="C1199" s="11"/>
      <c r="D1199" s="11"/>
      <c r="E1199" s="11"/>
      <c r="F1199" s="11"/>
      <c r="G1199" s="11"/>
      <c r="H1199" s="15" t="str">
        <f aca="false">IF(OR(D1199="",F1199=""),"",IF(F1199&lt;=1,D1199,D1199*(1+F1199/30)))</f>
        <v/>
      </c>
      <c r="I1199" s="15" t="str">
        <f aca="false">IF(OR(D1199="",F1199="",G1199=""),"",IF(F1199+MAX(0,10-G1199)&lt;=1,D1199,D1199*(1+(F1199+MAX(0,10-G1199))/30)))</f>
        <v/>
      </c>
      <c r="J1199" s="16" t="str">
        <f aca="false">IF(A1199="","",IF(AND(C1199="yes",N(G1199)&gt;=7),N(E1199),0))</f>
        <v/>
      </c>
      <c r="K1199" s="17" t="str">
        <f aca="false">IF(A1199="","",A1199-WEEKDAY(A1199,3))</f>
        <v/>
      </c>
      <c r="L1199" s="11"/>
    </row>
    <row r="1200" customFormat="false" ht="15" hidden="false" customHeight="false" outlineLevel="0" collapsed="false">
      <c r="A1200" s="10"/>
      <c r="B1200" s="11"/>
      <c r="C1200" s="11"/>
      <c r="D1200" s="11"/>
      <c r="E1200" s="11"/>
      <c r="F1200" s="11"/>
      <c r="G1200" s="11"/>
      <c r="H1200" s="15" t="str">
        <f aca="false">IF(OR(D1200="",F1200=""),"",IF(F1200&lt;=1,D1200,D1200*(1+F1200/30)))</f>
        <v/>
      </c>
      <c r="I1200" s="15" t="str">
        <f aca="false">IF(OR(D1200="",F1200="",G1200=""),"",IF(F1200+MAX(0,10-G1200)&lt;=1,D1200,D1200*(1+(F1200+MAX(0,10-G1200))/30)))</f>
        <v/>
      </c>
      <c r="J1200" s="16" t="str">
        <f aca="false">IF(A1200="","",IF(AND(C1200="yes",N(G1200)&gt;=7),N(E1200),0))</f>
        <v/>
      </c>
      <c r="K1200" s="17" t="str">
        <f aca="false">IF(A1200="","",A1200-WEEKDAY(A1200,3))</f>
        <v/>
      </c>
      <c r="L1200" s="11"/>
    </row>
    <row r="1201" customFormat="false" ht="15" hidden="false" customHeight="false" outlineLevel="0" collapsed="false">
      <c r="A1201" s="10"/>
      <c r="B1201" s="11"/>
      <c r="C1201" s="11"/>
      <c r="D1201" s="11"/>
      <c r="E1201" s="11"/>
      <c r="F1201" s="11"/>
      <c r="G1201" s="11"/>
      <c r="H1201" s="15" t="str">
        <f aca="false">IF(OR(D1201="",F1201=""),"",IF(F1201&lt;=1,D1201,D1201*(1+F1201/30)))</f>
        <v/>
      </c>
      <c r="I1201" s="15" t="str">
        <f aca="false">IF(OR(D1201="",F1201="",G1201=""),"",IF(F1201+MAX(0,10-G1201)&lt;=1,D1201,D1201*(1+(F1201+MAX(0,10-G1201))/30)))</f>
        <v/>
      </c>
      <c r="J1201" s="16" t="str">
        <f aca="false">IF(A1201="","",IF(AND(C1201="yes",N(G1201)&gt;=7),N(E1201),0))</f>
        <v/>
      </c>
      <c r="K1201" s="17" t="str">
        <f aca="false">IF(A1201="","",A1201-WEEKDAY(A1201,3))</f>
        <v/>
      </c>
      <c r="L1201" s="11"/>
    </row>
    <row r="1202" customFormat="false" ht="15" hidden="false" customHeight="false" outlineLevel="0" collapsed="false">
      <c r="A1202" s="10"/>
      <c r="B1202" s="11"/>
      <c r="C1202" s="11"/>
      <c r="D1202" s="11"/>
      <c r="E1202" s="11"/>
      <c r="F1202" s="11"/>
      <c r="G1202" s="11"/>
      <c r="H1202" s="15" t="str">
        <f aca="false">IF(OR(D1202="",F1202=""),"",IF(F1202&lt;=1,D1202,D1202*(1+F1202/30)))</f>
        <v/>
      </c>
      <c r="I1202" s="15" t="str">
        <f aca="false">IF(OR(D1202="",F1202="",G1202=""),"",IF(F1202+MAX(0,10-G1202)&lt;=1,D1202,D1202*(1+(F1202+MAX(0,10-G1202))/30)))</f>
        <v/>
      </c>
      <c r="J1202" s="16" t="str">
        <f aca="false">IF(A1202="","",IF(AND(C1202="yes",N(G1202)&gt;=7),N(E1202),0))</f>
        <v/>
      </c>
      <c r="K1202" s="17" t="str">
        <f aca="false">IF(A1202="","",A1202-WEEKDAY(A1202,3))</f>
        <v/>
      </c>
      <c r="L1202" s="11"/>
    </row>
    <row r="1203" customFormat="false" ht="15" hidden="false" customHeight="false" outlineLevel="0" collapsed="false">
      <c r="A1203" s="10"/>
      <c r="B1203" s="11"/>
      <c r="C1203" s="11"/>
      <c r="D1203" s="11"/>
      <c r="E1203" s="11"/>
      <c r="F1203" s="11"/>
      <c r="G1203" s="11"/>
      <c r="H1203" s="15" t="str">
        <f aca="false">IF(OR(D1203="",F1203=""),"",IF(F1203&lt;=1,D1203,D1203*(1+F1203/30)))</f>
        <v/>
      </c>
      <c r="I1203" s="15" t="str">
        <f aca="false">IF(OR(D1203="",F1203="",G1203=""),"",IF(F1203+MAX(0,10-G1203)&lt;=1,D1203,D1203*(1+(F1203+MAX(0,10-G1203))/30)))</f>
        <v/>
      </c>
      <c r="J1203" s="16" t="str">
        <f aca="false">IF(A1203="","",IF(AND(C1203="yes",N(G1203)&gt;=7),N(E1203),0))</f>
        <v/>
      </c>
      <c r="K1203" s="17" t="str">
        <f aca="false">IF(A1203="","",A1203-WEEKDAY(A1203,3))</f>
        <v/>
      </c>
      <c r="L1203" s="11"/>
    </row>
    <row r="1204" customFormat="false" ht="15" hidden="false" customHeight="false" outlineLevel="0" collapsed="false">
      <c r="A1204" s="10"/>
      <c r="B1204" s="11"/>
      <c r="C1204" s="11"/>
      <c r="D1204" s="11"/>
      <c r="E1204" s="11"/>
      <c r="F1204" s="11"/>
      <c r="G1204" s="11"/>
      <c r="H1204" s="15" t="str">
        <f aca="false">IF(OR(D1204="",F1204=""),"",IF(F1204&lt;=1,D1204,D1204*(1+F1204/30)))</f>
        <v/>
      </c>
      <c r="I1204" s="15" t="str">
        <f aca="false">IF(OR(D1204="",F1204="",G1204=""),"",IF(F1204+MAX(0,10-G1204)&lt;=1,D1204,D1204*(1+(F1204+MAX(0,10-G1204))/30)))</f>
        <v/>
      </c>
      <c r="J1204" s="16" t="str">
        <f aca="false">IF(A1204="","",IF(AND(C1204="yes",N(G1204)&gt;=7),N(E1204),0))</f>
        <v/>
      </c>
      <c r="K1204" s="17" t="str">
        <f aca="false">IF(A1204="","",A1204-WEEKDAY(A1204,3))</f>
        <v/>
      </c>
      <c r="L1204" s="11"/>
    </row>
    <row r="1205" customFormat="false" ht="15" hidden="false" customHeight="false" outlineLevel="0" collapsed="false">
      <c r="A1205" s="10"/>
      <c r="B1205" s="11"/>
      <c r="C1205" s="11"/>
      <c r="D1205" s="11"/>
      <c r="E1205" s="11"/>
      <c r="F1205" s="11"/>
      <c r="G1205" s="11"/>
      <c r="H1205" s="15" t="str">
        <f aca="false">IF(OR(D1205="",F1205=""),"",IF(F1205&lt;=1,D1205,D1205*(1+F1205/30)))</f>
        <v/>
      </c>
      <c r="I1205" s="15" t="str">
        <f aca="false">IF(OR(D1205="",F1205="",G1205=""),"",IF(F1205+MAX(0,10-G1205)&lt;=1,D1205,D1205*(1+(F1205+MAX(0,10-G1205))/30)))</f>
        <v/>
      </c>
      <c r="J1205" s="16" t="str">
        <f aca="false">IF(A1205="","",IF(AND(C1205="yes",N(G1205)&gt;=7),N(E1205),0))</f>
        <v/>
      </c>
      <c r="K1205" s="17" t="str">
        <f aca="false">IF(A1205="","",A1205-WEEKDAY(A1205,3))</f>
        <v/>
      </c>
      <c r="L1205" s="11"/>
    </row>
    <row r="1206" customFormat="false" ht="15" hidden="false" customHeight="false" outlineLevel="0" collapsed="false">
      <c r="A1206" s="10"/>
      <c r="B1206" s="11"/>
      <c r="C1206" s="11"/>
      <c r="D1206" s="11"/>
      <c r="E1206" s="11"/>
      <c r="F1206" s="11"/>
      <c r="G1206" s="11"/>
      <c r="H1206" s="15" t="str">
        <f aca="false">IF(OR(D1206="",F1206=""),"",IF(F1206&lt;=1,D1206,D1206*(1+F1206/30)))</f>
        <v/>
      </c>
      <c r="I1206" s="15" t="str">
        <f aca="false">IF(OR(D1206="",F1206="",G1206=""),"",IF(F1206+MAX(0,10-G1206)&lt;=1,D1206,D1206*(1+(F1206+MAX(0,10-G1206))/30)))</f>
        <v/>
      </c>
      <c r="J1206" s="16" t="str">
        <f aca="false">IF(A1206="","",IF(AND(C1206="yes",N(G1206)&gt;=7),N(E1206),0))</f>
        <v/>
      </c>
      <c r="K1206" s="17" t="str">
        <f aca="false">IF(A1206="","",A1206-WEEKDAY(A1206,3))</f>
        <v/>
      </c>
      <c r="L1206" s="11"/>
    </row>
    <row r="1207" customFormat="false" ht="15" hidden="false" customHeight="false" outlineLevel="0" collapsed="false">
      <c r="A1207" s="10"/>
      <c r="B1207" s="11"/>
      <c r="C1207" s="11"/>
      <c r="D1207" s="11"/>
      <c r="E1207" s="11"/>
      <c r="F1207" s="11"/>
      <c r="G1207" s="11"/>
      <c r="H1207" s="15" t="str">
        <f aca="false">IF(OR(D1207="",F1207=""),"",IF(F1207&lt;=1,D1207,D1207*(1+F1207/30)))</f>
        <v/>
      </c>
      <c r="I1207" s="15" t="str">
        <f aca="false">IF(OR(D1207="",F1207="",G1207=""),"",IF(F1207+MAX(0,10-G1207)&lt;=1,D1207,D1207*(1+(F1207+MAX(0,10-G1207))/30)))</f>
        <v/>
      </c>
      <c r="J1207" s="16" t="str">
        <f aca="false">IF(A1207="","",IF(AND(C1207="yes",N(G1207)&gt;=7),N(E1207),0))</f>
        <v/>
      </c>
      <c r="K1207" s="17" t="str">
        <f aca="false">IF(A1207="","",A1207-WEEKDAY(A1207,3))</f>
        <v/>
      </c>
      <c r="L1207" s="11"/>
    </row>
    <row r="1208" customFormat="false" ht="15" hidden="false" customHeight="false" outlineLevel="0" collapsed="false">
      <c r="A1208" s="10"/>
      <c r="B1208" s="11"/>
      <c r="C1208" s="11"/>
      <c r="D1208" s="11"/>
      <c r="E1208" s="11"/>
      <c r="F1208" s="11"/>
      <c r="G1208" s="11"/>
      <c r="H1208" s="15" t="str">
        <f aca="false">IF(OR(D1208="",F1208=""),"",IF(F1208&lt;=1,D1208,D1208*(1+F1208/30)))</f>
        <v/>
      </c>
      <c r="I1208" s="15" t="str">
        <f aca="false">IF(OR(D1208="",F1208="",G1208=""),"",IF(F1208+MAX(0,10-G1208)&lt;=1,D1208,D1208*(1+(F1208+MAX(0,10-G1208))/30)))</f>
        <v/>
      </c>
      <c r="J1208" s="16" t="str">
        <f aca="false">IF(A1208="","",IF(AND(C1208="yes",N(G1208)&gt;=7),N(E1208),0))</f>
        <v/>
      </c>
      <c r="K1208" s="17" t="str">
        <f aca="false">IF(A1208="","",A1208-WEEKDAY(A1208,3))</f>
        <v/>
      </c>
      <c r="L1208" s="11"/>
    </row>
    <row r="1209" customFormat="false" ht="15" hidden="false" customHeight="false" outlineLevel="0" collapsed="false">
      <c r="A1209" s="10"/>
      <c r="B1209" s="11"/>
      <c r="C1209" s="11"/>
      <c r="D1209" s="11"/>
      <c r="E1209" s="11"/>
      <c r="F1209" s="11"/>
      <c r="G1209" s="11"/>
      <c r="H1209" s="15" t="str">
        <f aca="false">IF(OR(D1209="",F1209=""),"",IF(F1209&lt;=1,D1209,D1209*(1+F1209/30)))</f>
        <v/>
      </c>
      <c r="I1209" s="15" t="str">
        <f aca="false">IF(OR(D1209="",F1209="",G1209=""),"",IF(F1209+MAX(0,10-G1209)&lt;=1,D1209,D1209*(1+(F1209+MAX(0,10-G1209))/30)))</f>
        <v/>
      </c>
      <c r="J1209" s="16" t="str">
        <f aca="false">IF(A1209="","",IF(AND(C1209="yes",N(G1209)&gt;=7),N(E1209),0))</f>
        <v/>
      </c>
      <c r="K1209" s="17" t="str">
        <f aca="false">IF(A1209="","",A1209-WEEKDAY(A1209,3))</f>
        <v/>
      </c>
      <c r="L1209" s="11"/>
    </row>
    <row r="1210" customFormat="false" ht="15" hidden="false" customHeight="false" outlineLevel="0" collapsed="false">
      <c r="A1210" s="10"/>
      <c r="B1210" s="11"/>
      <c r="C1210" s="11"/>
      <c r="D1210" s="11"/>
      <c r="E1210" s="11"/>
      <c r="F1210" s="11"/>
      <c r="G1210" s="11"/>
      <c r="H1210" s="15" t="str">
        <f aca="false">IF(OR(D1210="",F1210=""),"",IF(F1210&lt;=1,D1210,D1210*(1+F1210/30)))</f>
        <v/>
      </c>
      <c r="I1210" s="15" t="str">
        <f aca="false">IF(OR(D1210="",F1210="",G1210=""),"",IF(F1210+MAX(0,10-G1210)&lt;=1,D1210,D1210*(1+(F1210+MAX(0,10-G1210))/30)))</f>
        <v/>
      </c>
      <c r="J1210" s="16" t="str">
        <f aca="false">IF(A1210="","",IF(AND(C1210="yes",N(G1210)&gt;=7),N(E1210),0))</f>
        <v/>
      </c>
      <c r="K1210" s="17" t="str">
        <f aca="false">IF(A1210="","",A1210-WEEKDAY(A1210,3))</f>
        <v/>
      </c>
      <c r="L1210" s="11"/>
    </row>
    <row r="1211" customFormat="false" ht="15" hidden="false" customHeight="false" outlineLevel="0" collapsed="false">
      <c r="A1211" s="10"/>
      <c r="B1211" s="11"/>
      <c r="C1211" s="11"/>
      <c r="D1211" s="11"/>
      <c r="E1211" s="11"/>
      <c r="F1211" s="11"/>
      <c r="G1211" s="11"/>
      <c r="H1211" s="15" t="str">
        <f aca="false">IF(OR(D1211="",F1211=""),"",IF(F1211&lt;=1,D1211,D1211*(1+F1211/30)))</f>
        <v/>
      </c>
      <c r="I1211" s="15" t="str">
        <f aca="false">IF(OR(D1211="",F1211="",G1211=""),"",IF(F1211+MAX(0,10-G1211)&lt;=1,D1211,D1211*(1+(F1211+MAX(0,10-G1211))/30)))</f>
        <v/>
      </c>
      <c r="J1211" s="16" t="str">
        <f aca="false">IF(A1211="","",IF(AND(C1211="yes",N(G1211)&gt;=7),N(E1211),0))</f>
        <v/>
      </c>
      <c r="K1211" s="17" t="str">
        <f aca="false">IF(A1211="","",A1211-WEEKDAY(A1211,3))</f>
        <v/>
      </c>
      <c r="L1211" s="11"/>
    </row>
    <row r="1212" customFormat="false" ht="15" hidden="false" customHeight="false" outlineLevel="0" collapsed="false">
      <c r="A1212" s="10"/>
      <c r="B1212" s="11"/>
      <c r="C1212" s="11"/>
      <c r="D1212" s="11"/>
      <c r="E1212" s="11"/>
      <c r="F1212" s="11"/>
      <c r="G1212" s="11"/>
      <c r="H1212" s="15" t="str">
        <f aca="false">IF(OR(D1212="",F1212=""),"",IF(F1212&lt;=1,D1212,D1212*(1+F1212/30)))</f>
        <v/>
      </c>
      <c r="I1212" s="15" t="str">
        <f aca="false">IF(OR(D1212="",F1212="",G1212=""),"",IF(F1212+MAX(0,10-G1212)&lt;=1,D1212,D1212*(1+(F1212+MAX(0,10-G1212))/30)))</f>
        <v/>
      </c>
      <c r="J1212" s="16" t="str">
        <f aca="false">IF(A1212="","",IF(AND(C1212="yes",N(G1212)&gt;=7),N(E1212),0))</f>
        <v/>
      </c>
      <c r="K1212" s="17" t="str">
        <f aca="false">IF(A1212="","",A1212-WEEKDAY(A1212,3))</f>
        <v/>
      </c>
      <c r="L1212" s="11"/>
    </row>
    <row r="1213" customFormat="false" ht="15" hidden="false" customHeight="false" outlineLevel="0" collapsed="false">
      <c r="A1213" s="10"/>
      <c r="B1213" s="11"/>
      <c r="C1213" s="11"/>
      <c r="D1213" s="11"/>
      <c r="E1213" s="11"/>
      <c r="F1213" s="11"/>
      <c r="G1213" s="11"/>
      <c r="H1213" s="15" t="str">
        <f aca="false">IF(OR(D1213="",F1213=""),"",IF(F1213&lt;=1,D1213,D1213*(1+F1213/30)))</f>
        <v/>
      </c>
      <c r="I1213" s="15" t="str">
        <f aca="false">IF(OR(D1213="",F1213="",G1213=""),"",IF(F1213+MAX(0,10-G1213)&lt;=1,D1213,D1213*(1+(F1213+MAX(0,10-G1213))/30)))</f>
        <v/>
      </c>
      <c r="J1213" s="16" t="str">
        <f aca="false">IF(A1213="","",IF(AND(C1213="yes",N(G1213)&gt;=7),N(E1213),0))</f>
        <v/>
      </c>
      <c r="K1213" s="17" t="str">
        <f aca="false">IF(A1213="","",A1213-WEEKDAY(A1213,3))</f>
        <v/>
      </c>
      <c r="L1213" s="11"/>
    </row>
    <row r="1214" customFormat="false" ht="15" hidden="false" customHeight="false" outlineLevel="0" collapsed="false">
      <c r="A1214" s="10"/>
      <c r="B1214" s="11"/>
      <c r="C1214" s="11"/>
      <c r="D1214" s="11"/>
      <c r="E1214" s="11"/>
      <c r="F1214" s="11"/>
      <c r="G1214" s="11"/>
      <c r="H1214" s="15" t="str">
        <f aca="false">IF(OR(D1214="",F1214=""),"",IF(F1214&lt;=1,D1214,D1214*(1+F1214/30)))</f>
        <v/>
      </c>
      <c r="I1214" s="15" t="str">
        <f aca="false">IF(OR(D1214="",F1214="",G1214=""),"",IF(F1214+MAX(0,10-G1214)&lt;=1,D1214,D1214*(1+(F1214+MAX(0,10-G1214))/30)))</f>
        <v/>
      </c>
      <c r="J1214" s="16" t="str">
        <f aca="false">IF(A1214="","",IF(AND(C1214="yes",N(G1214)&gt;=7),N(E1214),0))</f>
        <v/>
      </c>
      <c r="K1214" s="17" t="str">
        <f aca="false">IF(A1214="","",A1214-WEEKDAY(A1214,3))</f>
        <v/>
      </c>
      <c r="L1214" s="11"/>
    </row>
    <row r="1215" customFormat="false" ht="15" hidden="false" customHeight="false" outlineLevel="0" collapsed="false">
      <c r="A1215" s="10"/>
      <c r="B1215" s="11"/>
      <c r="C1215" s="11"/>
      <c r="D1215" s="11"/>
      <c r="E1215" s="11"/>
      <c r="F1215" s="11"/>
      <c r="G1215" s="11"/>
      <c r="H1215" s="15" t="str">
        <f aca="false">IF(OR(D1215="",F1215=""),"",IF(F1215&lt;=1,D1215,D1215*(1+F1215/30)))</f>
        <v/>
      </c>
      <c r="I1215" s="15" t="str">
        <f aca="false">IF(OR(D1215="",F1215="",G1215=""),"",IF(F1215+MAX(0,10-G1215)&lt;=1,D1215,D1215*(1+(F1215+MAX(0,10-G1215))/30)))</f>
        <v/>
      </c>
      <c r="J1215" s="16" t="str">
        <f aca="false">IF(A1215="","",IF(AND(C1215="yes",N(G1215)&gt;=7),N(E1215),0))</f>
        <v/>
      </c>
      <c r="K1215" s="17" t="str">
        <f aca="false">IF(A1215="","",A1215-WEEKDAY(A1215,3))</f>
        <v/>
      </c>
      <c r="L1215" s="11"/>
    </row>
    <row r="1216" customFormat="false" ht="15" hidden="false" customHeight="false" outlineLevel="0" collapsed="false">
      <c r="A1216" s="10"/>
      <c r="B1216" s="11"/>
      <c r="C1216" s="11"/>
      <c r="D1216" s="11"/>
      <c r="E1216" s="11"/>
      <c r="F1216" s="11"/>
      <c r="G1216" s="11"/>
      <c r="H1216" s="15" t="str">
        <f aca="false">IF(OR(D1216="",F1216=""),"",IF(F1216&lt;=1,D1216,D1216*(1+F1216/30)))</f>
        <v/>
      </c>
      <c r="I1216" s="15" t="str">
        <f aca="false">IF(OR(D1216="",F1216="",G1216=""),"",IF(F1216+MAX(0,10-G1216)&lt;=1,D1216,D1216*(1+(F1216+MAX(0,10-G1216))/30)))</f>
        <v/>
      </c>
      <c r="J1216" s="16" t="str">
        <f aca="false">IF(A1216="","",IF(AND(C1216="yes",N(G1216)&gt;=7),N(E1216),0))</f>
        <v/>
      </c>
      <c r="K1216" s="17" t="str">
        <f aca="false">IF(A1216="","",A1216-WEEKDAY(A1216,3))</f>
        <v/>
      </c>
      <c r="L1216" s="11"/>
    </row>
    <row r="1217" customFormat="false" ht="15" hidden="false" customHeight="false" outlineLevel="0" collapsed="false">
      <c r="A1217" s="10"/>
      <c r="B1217" s="11"/>
      <c r="C1217" s="11"/>
      <c r="D1217" s="11"/>
      <c r="E1217" s="11"/>
      <c r="F1217" s="11"/>
      <c r="G1217" s="11"/>
      <c r="H1217" s="15" t="str">
        <f aca="false">IF(OR(D1217="",F1217=""),"",IF(F1217&lt;=1,D1217,D1217*(1+F1217/30)))</f>
        <v/>
      </c>
      <c r="I1217" s="15" t="str">
        <f aca="false">IF(OR(D1217="",F1217="",G1217=""),"",IF(F1217+MAX(0,10-G1217)&lt;=1,D1217,D1217*(1+(F1217+MAX(0,10-G1217))/30)))</f>
        <v/>
      </c>
      <c r="J1217" s="16" t="str">
        <f aca="false">IF(A1217="","",IF(AND(C1217="yes",N(G1217)&gt;=7),N(E1217),0))</f>
        <v/>
      </c>
      <c r="K1217" s="17" t="str">
        <f aca="false">IF(A1217="","",A1217-WEEKDAY(A1217,3))</f>
        <v/>
      </c>
      <c r="L1217" s="11"/>
    </row>
    <row r="1218" customFormat="false" ht="15" hidden="false" customHeight="false" outlineLevel="0" collapsed="false">
      <c r="A1218" s="10"/>
      <c r="B1218" s="11"/>
      <c r="C1218" s="11"/>
      <c r="D1218" s="11"/>
      <c r="E1218" s="11"/>
      <c r="F1218" s="11"/>
      <c r="G1218" s="11"/>
      <c r="H1218" s="15" t="str">
        <f aca="false">IF(OR(D1218="",F1218=""),"",IF(F1218&lt;=1,D1218,D1218*(1+F1218/30)))</f>
        <v/>
      </c>
      <c r="I1218" s="15" t="str">
        <f aca="false">IF(OR(D1218="",F1218="",G1218=""),"",IF(F1218+MAX(0,10-G1218)&lt;=1,D1218,D1218*(1+(F1218+MAX(0,10-G1218))/30)))</f>
        <v/>
      </c>
      <c r="J1218" s="16" t="str">
        <f aca="false">IF(A1218="","",IF(AND(C1218="yes",N(G1218)&gt;=7),N(E1218),0))</f>
        <v/>
      </c>
      <c r="K1218" s="17" t="str">
        <f aca="false">IF(A1218="","",A1218-WEEKDAY(A1218,3))</f>
        <v/>
      </c>
      <c r="L1218" s="11"/>
    </row>
    <row r="1219" customFormat="false" ht="15" hidden="false" customHeight="false" outlineLevel="0" collapsed="false">
      <c r="A1219" s="10"/>
      <c r="B1219" s="11"/>
      <c r="C1219" s="11"/>
      <c r="D1219" s="11"/>
      <c r="E1219" s="11"/>
      <c r="F1219" s="11"/>
      <c r="G1219" s="11"/>
      <c r="H1219" s="15" t="str">
        <f aca="false">IF(OR(D1219="",F1219=""),"",IF(F1219&lt;=1,D1219,D1219*(1+F1219/30)))</f>
        <v/>
      </c>
      <c r="I1219" s="15" t="str">
        <f aca="false">IF(OR(D1219="",F1219="",G1219=""),"",IF(F1219+MAX(0,10-G1219)&lt;=1,D1219,D1219*(1+(F1219+MAX(0,10-G1219))/30)))</f>
        <v/>
      </c>
      <c r="J1219" s="16" t="str">
        <f aca="false">IF(A1219="","",IF(AND(C1219="yes",N(G1219)&gt;=7),N(E1219),0))</f>
        <v/>
      </c>
      <c r="K1219" s="17" t="str">
        <f aca="false">IF(A1219="","",A1219-WEEKDAY(A1219,3))</f>
        <v/>
      </c>
      <c r="L1219" s="11"/>
    </row>
    <row r="1220" customFormat="false" ht="15" hidden="false" customHeight="false" outlineLevel="0" collapsed="false">
      <c r="A1220" s="10"/>
      <c r="B1220" s="11"/>
      <c r="C1220" s="11"/>
      <c r="D1220" s="11"/>
      <c r="E1220" s="11"/>
      <c r="F1220" s="11"/>
      <c r="G1220" s="11"/>
      <c r="H1220" s="15" t="str">
        <f aca="false">IF(OR(D1220="",F1220=""),"",IF(F1220&lt;=1,D1220,D1220*(1+F1220/30)))</f>
        <v/>
      </c>
      <c r="I1220" s="15" t="str">
        <f aca="false">IF(OR(D1220="",F1220="",G1220=""),"",IF(F1220+MAX(0,10-G1220)&lt;=1,D1220,D1220*(1+(F1220+MAX(0,10-G1220))/30)))</f>
        <v/>
      </c>
      <c r="J1220" s="16" t="str">
        <f aca="false">IF(A1220="","",IF(AND(C1220="yes",N(G1220)&gt;=7),N(E1220),0))</f>
        <v/>
      </c>
      <c r="K1220" s="17" t="str">
        <f aca="false">IF(A1220="","",A1220-WEEKDAY(A1220,3))</f>
        <v/>
      </c>
      <c r="L1220" s="11"/>
    </row>
    <row r="1221" customFormat="false" ht="15" hidden="false" customHeight="false" outlineLevel="0" collapsed="false">
      <c r="A1221" s="10"/>
      <c r="B1221" s="11"/>
      <c r="C1221" s="11"/>
      <c r="D1221" s="11"/>
      <c r="E1221" s="11"/>
      <c r="F1221" s="11"/>
      <c r="G1221" s="11"/>
      <c r="H1221" s="15" t="str">
        <f aca="false">IF(OR(D1221="",F1221=""),"",IF(F1221&lt;=1,D1221,D1221*(1+F1221/30)))</f>
        <v/>
      </c>
      <c r="I1221" s="15" t="str">
        <f aca="false">IF(OR(D1221="",F1221="",G1221=""),"",IF(F1221+MAX(0,10-G1221)&lt;=1,D1221,D1221*(1+(F1221+MAX(0,10-G1221))/30)))</f>
        <v/>
      </c>
      <c r="J1221" s="16" t="str">
        <f aca="false">IF(A1221="","",IF(AND(C1221="yes",N(G1221)&gt;=7),N(E1221),0))</f>
        <v/>
      </c>
      <c r="K1221" s="17" t="str">
        <f aca="false">IF(A1221="","",A1221-WEEKDAY(A1221,3))</f>
        <v/>
      </c>
      <c r="L1221" s="11"/>
    </row>
    <row r="1222" customFormat="false" ht="15" hidden="false" customHeight="false" outlineLevel="0" collapsed="false">
      <c r="A1222" s="10"/>
      <c r="B1222" s="11"/>
      <c r="C1222" s="11"/>
      <c r="D1222" s="11"/>
      <c r="E1222" s="11"/>
      <c r="F1222" s="11"/>
      <c r="G1222" s="11"/>
      <c r="H1222" s="15" t="str">
        <f aca="false">IF(OR(D1222="",F1222=""),"",IF(F1222&lt;=1,D1222,D1222*(1+F1222/30)))</f>
        <v/>
      </c>
      <c r="I1222" s="15" t="str">
        <f aca="false">IF(OR(D1222="",F1222="",G1222=""),"",IF(F1222+MAX(0,10-G1222)&lt;=1,D1222,D1222*(1+(F1222+MAX(0,10-G1222))/30)))</f>
        <v/>
      </c>
      <c r="J1222" s="16" t="str">
        <f aca="false">IF(A1222="","",IF(AND(C1222="yes",N(G1222)&gt;=7),N(E1222),0))</f>
        <v/>
      </c>
      <c r="K1222" s="17" t="str">
        <f aca="false">IF(A1222="","",A1222-WEEKDAY(A1222,3))</f>
        <v/>
      </c>
      <c r="L1222" s="11"/>
    </row>
    <row r="1223" customFormat="false" ht="15" hidden="false" customHeight="false" outlineLevel="0" collapsed="false">
      <c r="A1223" s="10"/>
      <c r="B1223" s="11"/>
      <c r="C1223" s="11"/>
      <c r="D1223" s="11"/>
      <c r="E1223" s="11"/>
      <c r="F1223" s="11"/>
      <c r="G1223" s="11"/>
      <c r="H1223" s="15" t="str">
        <f aca="false">IF(OR(D1223="",F1223=""),"",IF(F1223&lt;=1,D1223,D1223*(1+F1223/30)))</f>
        <v/>
      </c>
      <c r="I1223" s="15" t="str">
        <f aca="false">IF(OR(D1223="",F1223="",G1223=""),"",IF(F1223+MAX(0,10-G1223)&lt;=1,D1223,D1223*(1+(F1223+MAX(0,10-G1223))/30)))</f>
        <v/>
      </c>
      <c r="J1223" s="16" t="str">
        <f aca="false">IF(A1223="","",IF(AND(C1223="yes",N(G1223)&gt;=7),N(E1223),0))</f>
        <v/>
      </c>
      <c r="K1223" s="17" t="str">
        <f aca="false">IF(A1223="","",A1223-WEEKDAY(A1223,3))</f>
        <v/>
      </c>
      <c r="L1223" s="11"/>
    </row>
    <row r="1224" customFormat="false" ht="15" hidden="false" customHeight="false" outlineLevel="0" collapsed="false">
      <c r="A1224" s="10"/>
      <c r="B1224" s="11"/>
      <c r="C1224" s="11"/>
      <c r="D1224" s="11"/>
      <c r="E1224" s="11"/>
      <c r="F1224" s="11"/>
      <c r="G1224" s="11"/>
      <c r="H1224" s="15" t="str">
        <f aca="false">IF(OR(D1224="",F1224=""),"",IF(F1224&lt;=1,D1224,D1224*(1+F1224/30)))</f>
        <v/>
      </c>
      <c r="I1224" s="15" t="str">
        <f aca="false">IF(OR(D1224="",F1224="",G1224=""),"",IF(F1224+MAX(0,10-G1224)&lt;=1,D1224,D1224*(1+(F1224+MAX(0,10-G1224))/30)))</f>
        <v/>
      </c>
      <c r="J1224" s="16" t="str">
        <f aca="false">IF(A1224="","",IF(AND(C1224="yes",N(G1224)&gt;=7),N(E1224),0))</f>
        <v/>
      </c>
      <c r="K1224" s="17" t="str">
        <f aca="false">IF(A1224="","",A1224-WEEKDAY(A1224,3))</f>
        <v/>
      </c>
      <c r="L1224" s="11"/>
    </row>
    <row r="1225" customFormat="false" ht="15" hidden="false" customHeight="false" outlineLevel="0" collapsed="false">
      <c r="A1225" s="10"/>
      <c r="B1225" s="11"/>
      <c r="C1225" s="11"/>
      <c r="D1225" s="11"/>
      <c r="E1225" s="11"/>
      <c r="F1225" s="11"/>
      <c r="G1225" s="11"/>
      <c r="H1225" s="15" t="str">
        <f aca="false">IF(OR(D1225="",F1225=""),"",IF(F1225&lt;=1,D1225,D1225*(1+F1225/30)))</f>
        <v/>
      </c>
      <c r="I1225" s="15" t="str">
        <f aca="false">IF(OR(D1225="",F1225="",G1225=""),"",IF(F1225+MAX(0,10-G1225)&lt;=1,D1225,D1225*(1+(F1225+MAX(0,10-G1225))/30)))</f>
        <v/>
      </c>
      <c r="J1225" s="16" t="str">
        <f aca="false">IF(A1225="","",IF(AND(C1225="yes",N(G1225)&gt;=7),N(E1225),0))</f>
        <v/>
      </c>
      <c r="K1225" s="17" t="str">
        <f aca="false">IF(A1225="","",A1225-WEEKDAY(A1225,3))</f>
        <v/>
      </c>
      <c r="L1225" s="11"/>
    </row>
    <row r="1226" customFormat="false" ht="15" hidden="false" customHeight="false" outlineLevel="0" collapsed="false">
      <c r="A1226" s="10"/>
      <c r="B1226" s="11"/>
      <c r="C1226" s="11"/>
      <c r="D1226" s="11"/>
      <c r="E1226" s="11"/>
      <c r="F1226" s="11"/>
      <c r="G1226" s="11"/>
      <c r="H1226" s="15" t="str">
        <f aca="false">IF(OR(D1226="",F1226=""),"",IF(F1226&lt;=1,D1226,D1226*(1+F1226/30)))</f>
        <v/>
      </c>
      <c r="I1226" s="15" t="str">
        <f aca="false">IF(OR(D1226="",F1226="",G1226=""),"",IF(F1226+MAX(0,10-G1226)&lt;=1,D1226,D1226*(1+(F1226+MAX(0,10-G1226))/30)))</f>
        <v/>
      </c>
      <c r="J1226" s="16" t="str">
        <f aca="false">IF(A1226="","",IF(AND(C1226="yes",N(G1226)&gt;=7),N(E1226),0))</f>
        <v/>
      </c>
      <c r="K1226" s="17" t="str">
        <f aca="false">IF(A1226="","",A1226-WEEKDAY(A1226,3))</f>
        <v/>
      </c>
      <c r="L1226" s="11"/>
    </row>
    <row r="1227" customFormat="false" ht="15" hidden="false" customHeight="false" outlineLevel="0" collapsed="false">
      <c r="A1227" s="10"/>
      <c r="B1227" s="11"/>
      <c r="C1227" s="11"/>
      <c r="D1227" s="11"/>
      <c r="E1227" s="11"/>
      <c r="F1227" s="11"/>
      <c r="G1227" s="11"/>
      <c r="H1227" s="15" t="str">
        <f aca="false">IF(OR(D1227="",F1227=""),"",IF(F1227&lt;=1,D1227,D1227*(1+F1227/30)))</f>
        <v/>
      </c>
      <c r="I1227" s="15" t="str">
        <f aca="false">IF(OR(D1227="",F1227="",G1227=""),"",IF(F1227+MAX(0,10-G1227)&lt;=1,D1227,D1227*(1+(F1227+MAX(0,10-G1227))/30)))</f>
        <v/>
      </c>
      <c r="J1227" s="16" t="str">
        <f aca="false">IF(A1227="","",IF(AND(C1227="yes",N(G1227)&gt;=7),N(E1227),0))</f>
        <v/>
      </c>
      <c r="K1227" s="17" t="str">
        <f aca="false">IF(A1227="","",A1227-WEEKDAY(A1227,3))</f>
        <v/>
      </c>
      <c r="L1227" s="11"/>
    </row>
    <row r="1228" customFormat="false" ht="15" hidden="false" customHeight="false" outlineLevel="0" collapsed="false">
      <c r="A1228" s="10"/>
      <c r="B1228" s="11"/>
      <c r="C1228" s="11"/>
      <c r="D1228" s="11"/>
      <c r="E1228" s="11"/>
      <c r="F1228" s="11"/>
      <c r="G1228" s="11"/>
      <c r="H1228" s="15" t="str">
        <f aca="false">IF(OR(D1228="",F1228=""),"",IF(F1228&lt;=1,D1228,D1228*(1+F1228/30)))</f>
        <v/>
      </c>
      <c r="I1228" s="15" t="str">
        <f aca="false">IF(OR(D1228="",F1228="",G1228=""),"",IF(F1228+MAX(0,10-G1228)&lt;=1,D1228,D1228*(1+(F1228+MAX(0,10-G1228))/30)))</f>
        <v/>
      </c>
      <c r="J1228" s="16" t="str">
        <f aca="false">IF(A1228="","",IF(AND(C1228="yes",N(G1228)&gt;=7),N(E1228),0))</f>
        <v/>
      </c>
      <c r="K1228" s="17" t="str">
        <f aca="false">IF(A1228="","",A1228-WEEKDAY(A1228,3))</f>
        <v/>
      </c>
      <c r="L1228" s="11"/>
    </row>
    <row r="1229" customFormat="false" ht="15" hidden="false" customHeight="false" outlineLevel="0" collapsed="false">
      <c r="A1229" s="10"/>
      <c r="B1229" s="11"/>
      <c r="C1229" s="11"/>
      <c r="D1229" s="11"/>
      <c r="E1229" s="11"/>
      <c r="F1229" s="11"/>
      <c r="G1229" s="11"/>
      <c r="H1229" s="15" t="str">
        <f aca="false">IF(OR(D1229="",F1229=""),"",IF(F1229&lt;=1,D1229,D1229*(1+F1229/30)))</f>
        <v/>
      </c>
      <c r="I1229" s="15" t="str">
        <f aca="false">IF(OR(D1229="",F1229="",G1229=""),"",IF(F1229+MAX(0,10-G1229)&lt;=1,D1229,D1229*(1+(F1229+MAX(0,10-G1229))/30)))</f>
        <v/>
      </c>
      <c r="J1229" s="16" t="str">
        <f aca="false">IF(A1229="","",IF(AND(C1229="yes",N(G1229)&gt;=7),N(E1229),0))</f>
        <v/>
      </c>
      <c r="K1229" s="17" t="str">
        <f aca="false">IF(A1229="","",A1229-WEEKDAY(A1229,3))</f>
        <v/>
      </c>
      <c r="L1229" s="11"/>
    </row>
    <row r="1230" customFormat="false" ht="15" hidden="false" customHeight="false" outlineLevel="0" collapsed="false">
      <c r="A1230" s="10"/>
      <c r="B1230" s="11"/>
      <c r="C1230" s="11"/>
      <c r="D1230" s="11"/>
      <c r="E1230" s="11"/>
      <c r="F1230" s="11"/>
      <c r="G1230" s="11"/>
      <c r="H1230" s="15" t="str">
        <f aca="false">IF(OR(D1230="",F1230=""),"",IF(F1230&lt;=1,D1230,D1230*(1+F1230/30)))</f>
        <v/>
      </c>
      <c r="I1230" s="15" t="str">
        <f aca="false">IF(OR(D1230="",F1230="",G1230=""),"",IF(F1230+MAX(0,10-G1230)&lt;=1,D1230,D1230*(1+(F1230+MAX(0,10-G1230))/30)))</f>
        <v/>
      </c>
      <c r="J1230" s="16" t="str">
        <f aca="false">IF(A1230="","",IF(AND(C1230="yes",N(G1230)&gt;=7),N(E1230),0))</f>
        <v/>
      </c>
      <c r="K1230" s="17" t="str">
        <f aca="false">IF(A1230="","",A1230-WEEKDAY(A1230,3))</f>
        <v/>
      </c>
      <c r="L1230" s="11"/>
    </row>
    <row r="1231" customFormat="false" ht="15" hidden="false" customHeight="false" outlineLevel="0" collapsed="false">
      <c r="A1231" s="10"/>
      <c r="B1231" s="11"/>
      <c r="C1231" s="11"/>
      <c r="D1231" s="11"/>
      <c r="E1231" s="11"/>
      <c r="F1231" s="11"/>
      <c r="G1231" s="11"/>
      <c r="H1231" s="15" t="str">
        <f aca="false">IF(OR(D1231="",F1231=""),"",IF(F1231&lt;=1,D1231,D1231*(1+F1231/30)))</f>
        <v/>
      </c>
      <c r="I1231" s="15" t="str">
        <f aca="false">IF(OR(D1231="",F1231="",G1231=""),"",IF(F1231+MAX(0,10-G1231)&lt;=1,D1231,D1231*(1+(F1231+MAX(0,10-G1231))/30)))</f>
        <v/>
      </c>
      <c r="J1231" s="16" t="str">
        <f aca="false">IF(A1231="","",IF(AND(C1231="yes",N(G1231)&gt;=7),N(E1231),0))</f>
        <v/>
      </c>
      <c r="K1231" s="17" t="str">
        <f aca="false">IF(A1231="","",A1231-WEEKDAY(A1231,3))</f>
        <v/>
      </c>
      <c r="L1231" s="11"/>
    </row>
    <row r="1232" customFormat="false" ht="15" hidden="false" customHeight="false" outlineLevel="0" collapsed="false">
      <c r="A1232" s="10"/>
      <c r="B1232" s="11"/>
      <c r="C1232" s="11"/>
      <c r="D1232" s="11"/>
      <c r="E1232" s="11"/>
      <c r="F1232" s="11"/>
      <c r="G1232" s="11"/>
      <c r="H1232" s="15" t="str">
        <f aca="false">IF(OR(D1232="",F1232=""),"",IF(F1232&lt;=1,D1232,D1232*(1+F1232/30)))</f>
        <v/>
      </c>
      <c r="I1232" s="15" t="str">
        <f aca="false">IF(OR(D1232="",F1232="",G1232=""),"",IF(F1232+MAX(0,10-G1232)&lt;=1,D1232,D1232*(1+(F1232+MAX(0,10-G1232))/30)))</f>
        <v/>
      </c>
      <c r="J1232" s="16" t="str">
        <f aca="false">IF(A1232="","",IF(AND(C1232="yes",N(G1232)&gt;=7),N(E1232),0))</f>
        <v/>
      </c>
      <c r="K1232" s="17" t="str">
        <f aca="false">IF(A1232="","",A1232-WEEKDAY(A1232,3))</f>
        <v/>
      </c>
      <c r="L1232" s="11"/>
    </row>
    <row r="1233" customFormat="false" ht="15" hidden="false" customHeight="false" outlineLevel="0" collapsed="false">
      <c r="A1233" s="10"/>
      <c r="B1233" s="11"/>
      <c r="C1233" s="11"/>
      <c r="D1233" s="11"/>
      <c r="E1233" s="11"/>
      <c r="F1233" s="11"/>
      <c r="G1233" s="11"/>
      <c r="H1233" s="15" t="str">
        <f aca="false">IF(OR(D1233="",F1233=""),"",IF(F1233&lt;=1,D1233,D1233*(1+F1233/30)))</f>
        <v/>
      </c>
      <c r="I1233" s="15" t="str">
        <f aca="false">IF(OR(D1233="",F1233="",G1233=""),"",IF(F1233+MAX(0,10-G1233)&lt;=1,D1233,D1233*(1+(F1233+MAX(0,10-G1233))/30)))</f>
        <v/>
      </c>
      <c r="J1233" s="16" t="str">
        <f aca="false">IF(A1233="","",IF(AND(C1233="yes",N(G1233)&gt;=7),N(E1233),0))</f>
        <v/>
      </c>
      <c r="K1233" s="17" t="str">
        <f aca="false">IF(A1233="","",A1233-WEEKDAY(A1233,3))</f>
        <v/>
      </c>
      <c r="L1233" s="11"/>
    </row>
    <row r="1234" customFormat="false" ht="15" hidden="false" customHeight="false" outlineLevel="0" collapsed="false">
      <c r="A1234" s="10"/>
      <c r="B1234" s="11"/>
      <c r="C1234" s="11"/>
      <c r="D1234" s="11"/>
      <c r="E1234" s="11"/>
      <c r="F1234" s="11"/>
      <c r="G1234" s="11"/>
      <c r="H1234" s="15" t="str">
        <f aca="false">IF(OR(D1234="",F1234=""),"",IF(F1234&lt;=1,D1234,D1234*(1+F1234/30)))</f>
        <v/>
      </c>
      <c r="I1234" s="15" t="str">
        <f aca="false">IF(OR(D1234="",F1234="",G1234=""),"",IF(F1234+MAX(0,10-G1234)&lt;=1,D1234,D1234*(1+(F1234+MAX(0,10-G1234))/30)))</f>
        <v/>
      </c>
      <c r="J1234" s="16" t="str">
        <f aca="false">IF(A1234="","",IF(AND(C1234="yes",N(G1234)&gt;=7),N(E1234),0))</f>
        <v/>
      </c>
      <c r="K1234" s="17" t="str">
        <f aca="false">IF(A1234="","",A1234-WEEKDAY(A1234,3))</f>
        <v/>
      </c>
      <c r="L1234" s="11"/>
    </row>
    <row r="1235" customFormat="false" ht="15" hidden="false" customHeight="false" outlineLevel="0" collapsed="false">
      <c r="A1235" s="10"/>
      <c r="B1235" s="11"/>
      <c r="C1235" s="11"/>
      <c r="D1235" s="11"/>
      <c r="E1235" s="11"/>
      <c r="F1235" s="11"/>
      <c r="G1235" s="11"/>
      <c r="H1235" s="15" t="str">
        <f aca="false">IF(OR(D1235="",F1235=""),"",IF(F1235&lt;=1,D1235,D1235*(1+F1235/30)))</f>
        <v/>
      </c>
      <c r="I1235" s="15" t="str">
        <f aca="false">IF(OR(D1235="",F1235="",G1235=""),"",IF(F1235+MAX(0,10-G1235)&lt;=1,D1235,D1235*(1+(F1235+MAX(0,10-G1235))/30)))</f>
        <v/>
      </c>
      <c r="J1235" s="16" t="str">
        <f aca="false">IF(A1235="","",IF(AND(C1235="yes",N(G1235)&gt;=7),N(E1235),0))</f>
        <v/>
      </c>
      <c r="K1235" s="17" t="str">
        <f aca="false">IF(A1235="","",A1235-WEEKDAY(A1235,3))</f>
        <v/>
      </c>
      <c r="L1235" s="11"/>
    </row>
    <row r="1236" customFormat="false" ht="15" hidden="false" customHeight="false" outlineLevel="0" collapsed="false">
      <c r="A1236" s="10"/>
      <c r="B1236" s="11"/>
      <c r="C1236" s="11"/>
      <c r="D1236" s="11"/>
      <c r="E1236" s="11"/>
      <c r="F1236" s="11"/>
      <c r="G1236" s="11"/>
      <c r="H1236" s="15" t="str">
        <f aca="false">IF(OR(D1236="",F1236=""),"",IF(F1236&lt;=1,D1236,D1236*(1+F1236/30)))</f>
        <v/>
      </c>
      <c r="I1236" s="15" t="str">
        <f aca="false">IF(OR(D1236="",F1236="",G1236=""),"",IF(F1236+MAX(0,10-G1236)&lt;=1,D1236,D1236*(1+(F1236+MAX(0,10-G1236))/30)))</f>
        <v/>
      </c>
      <c r="J1236" s="16" t="str">
        <f aca="false">IF(A1236="","",IF(AND(C1236="yes",N(G1236)&gt;=7),N(E1236),0))</f>
        <v/>
      </c>
      <c r="K1236" s="17" t="str">
        <f aca="false">IF(A1236="","",A1236-WEEKDAY(A1236,3))</f>
        <v/>
      </c>
      <c r="L1236" s="11"/>
    </row>
    <row r="1237" customFormat="false" ht="15" hidden="false" customHeight="false" outlineLevel="0" collapsed="false">
      <c r="A1237" s="10"/>
      <c r="B1237" s="11"/>
      <c r="C1237" s="11"/>
      <c r="D1237" s="11"/>
      <c r="E1237" s="11"/>
      <c r="F1237" s="11"/>
      <c r="G1237" s="11"/>
      <c r="H1237" s="15" t="str">
        <f aca="false">IF(OR(D1237="",F1237=""),"",IF(F1237&lt;=1,D1237,D1237*(1+F1237/30)))</f>
        <v/>
      </c>
      <c r="I1237" s="15" t="str">
        <f aca="false">IF(OR(D1237="",F1237="",G1237=""),"",IF(F1237+MAX(0,10-G1237)&lt;=1,D1237,D1237*(1+(F1237+MAX(0,10-G1237))/30)))</f>
        <v/>
      </c>
      <c r="J1237" s="16" t="str">
        <f aca="false">IF(A1237="","",IF(AND(C1237="yes",N(G1237)&gt;=7),N(E1237),0))</f>
        <v/>
      </c>
      <c r="K1237" s="17" t="str">
        <f aca="false">IF(A1237="","",A1237-WEEKDAY(A1237,3))</f>
        <v/>
      </c>
      <c r="L1237" s="11"/>
    </row>
    <row r="1238" customFormat="false" ht="15" hidden="false" customHeight="false" outlineLevel="0" collapsed="false">
      <c r="A1238" s="10"/>
      <c r="B1238" s="11"/>
      <c r="C1238" s="11"/>
      <c r="D1238" s="11"/>
      <c r="E1238" s="11"/>
      <c r="F1238" s="11"/>
      <c r="G1238" s="11"/>
      <c r="H1238" s="15" t="str">
        <f aca="false">IF(OR(D1238="",F1238=""),"",IF(F1238&lt;=1,D1238,D1238*(1+F1238/30)))</f>
        <v/>
      </c>
      <c r="I1238" s="15" t="str">
        <f aca="false">IF(OR(D1238="",F1238="",G1238=""),"",IF(F1238+MAX(0,10-G1238)&lt;=1,D1238,D1238*(1+(F1238+MAX(0,10-G1238))/30)))</f>
        <v/>
      </c>
      <c r="J1238" s="16" t="str">
        <f aca="false">IF(A1238="","",IF(AND(C1238="yes",N(G1238)&gt;=7),N(E1238),0))</f>
        <v/>
      </c>
      <c r="K1238" s="17" t="str">
        <f aca="false">IF(A1238="","",A1238-WEEKDAY(A1238,3))</f>
        <v/>
      </c>
      <c r="L1238" s="11"/>
    </row>
    <row r="1239" customFormat="false" ht="15" hidden="false" customHeight="false" outlineLevel="0" collapsed="false">
      <c r="A1239" s="10"/>
      <c r="B1239" s="11"/>
      <c r="C1239" s="11"/>
      <c r="D1239" s="11"/>
      <c r="E1239" s="11"/>
      <c r="F1239" s="11"/>
      <c r="G1239" s="11"/>
      <c r="H1239" s="15" t="str">
        <f aca="false">IF(OR(D1239="",F1239=""),"",IF(F1239&lt;=1,D1239,D1239*(1+F1239/30)))</f>
        <v/>
      </c>
      <c r="I1239" s="15" t="str">
        <f aca="false">IF(OR(D1239="",F1239="",G1239=""),"",IF(F1239+MAX(0,10-G1239)&lt;=1,D1239,D1239*(1+(F1239+MAX(0,10-G1239))/30)))</f>
        <v/>
      </c>
      <c r="J1239" s="16" t="str">
        <f aca="false">IF(A1239="","",IF(AND(C1239="yes",N(G1239)&gt;=7),N(E1239),0))</f>
        <v/>
      </c>
      <c r="K1239" s="17" t="str">
        <f aca="false">IF(A1239="","",A1239-WEEKDAY(A1239,3))</f>
        <v/>
      </c>
      <c r="L1239" s="11"/>
    </row>
    <row r="1240" customFormat="false" ht="15" hidden="false" customHeight="false" outlineLevel="0" collapsed="false">
      <c r="A1240" s="10"/>
      <c r="B1240" s="11"/>
      <c r="C1240" s="11"/>
      <c r="D1240" s="11"/>
      <c r="E1240" s="11"/>
      <c r="F1240" s="11"/>
      <c r="G1240" s="11"/>
      <c r="H1240" s="15" t="str">
        <f aca="false">IF(OR(D1240="",F1240=""),"",IF(F1240&lt;=1,D1240,D1240*(1+F1240/30)))</f>
        <v/>
      </c>
      <c r="I1240" s="15" t="str">
        <f aca="false">IF(OR(D1240="",F1240="",G1240=""),"",IF(F1240+MAX(0,10-G1240)&lt;=1,D1240,D1240*(1+(F1240+MAX(0,10-G1240))/30)))</f>
        <v/>
      </c>
      <c r="J1240" s="16" t="str">
        <f aca="false">IF(A1240="","",IF(AND(C1240="yes",N(G1240)&gt;=7),N(E1240),0))</f>
        <v/>
      </c>
      <c r="K1240" s="17" t="str">
        <f aca="false">IF(A1240="","",A1240-WEEKDAY(A1240,3))</f>
        <v/>
      </c>
      <c r="L1240" s="11"/>
    </row>
    <row r="1241" customFormat="false" ht="15" hidden="false" customHeight="false" outlineLevel="0" collapsed="false">
      <c r="A1241" s="10"/>
      <c r="B1241" s="11"/>
      <c r="C1241" s="11"/>
      <c r="D1241" s="11"/>
      <c r="E1241" s="11"/>
      <c r="F1241" s="11"/>
      <c r="G1241" s="11"/>
      <c r="H1241" s="15" t="str">
        <f aca="false">IF(OR(D1241="",F1241=""),"",IF(F1241&lt;=1,D1241,D1241*(1+F1241/30)))</f>
        <v/>
      </c>
      <c r="I1241" s="15" t="str">
        <f aca="false">IF(OR(D1241="",F1241="",G1241=""),"",IF(F1241+MAX(0,10-G1241)&lt;=1,D1241,D1241*(1+(F1241+MAX(0,10-G1241))/30)))</f>
        <v/>
      </c>
      <c r="J1241" s="16" t="str">
        <f aca="false">IF(A1241="","",IF(AND(C1241="yes",N(G1241)&gt;=7),N(E1241),0))</f>
        <v/>
      </c>
      <c r="K1241" s="17" t="str">
        <f aca="false">IF(A1241="","",A1241-WEEKDAY(A1241,3))</f>
        <v/>
      </c>
      <c r="L1241" s="11"/>
    </row>
    <row r="1242" customFormat="false" ht="15" hidden="false" customHeight="false" outlineLevel="0" collapsed="false">
      <c r="A1242" s="10"/>
      <c r="B1242" s="11"/>
      <c r="C1242" s="11"/>
      <c r="D1242" s="11"/>
      <c r="E1242" s="11"/>
      <c r="F1242" s="11"/>
      <c r="G1242" s="11"/>
      <c r="H1242" s="15" t="str">
        <f aca="false">IF(OR(D1242="",F1242=""),"",IF(F1242&lt;=1,D1242,D1242*(1+F1242/30)))</f>
        <v/>
      </c>
      <c r="I1242" s="15" t="str">
        <f aca="false">IF(OR(D1242="",F1242="",G1242=""),"",IF(F1242+MAX(0,10-G1242)&lt;=1,D1242,D1242*(1+(F1242+MAX(0,10-G1242))/30)))</f>
        <v/>
      </c>
      <c r="J1242" s="16" t="str">
        <f aca="false">IF(A1242="","",IF(AND(C1242="yes",N(G1242)&gt;=7),N(E1242),0))</f>
        <v/>
      </c>
      <c r="K1242" s="17" t="str">
        <f aca="false">IF(A1242="","",A1242-WEEKDAY(A1242,3))</f>
        <v/>
      </c>
      <c r="L1242" s="11"/>
    </row>
    <row r="1243" customFormat="false" ht="15" hidden="false" customHeight="false" outlineLevel="0" collapsed="false">
      <c r="A1243" s="10"/>
      <c r="B1243" s="11"/>
      <c r="C1243" s="11"/>
      <c r="D1243" s="11"/>
      <c r="E1243" s="11"/>
      <c r="F1243" s="11"/>
      <c r="G1243" s="11"/>
      <c r="H1243" s="15" t="str">
        <f aca="false">IF(OR(D1243="",F1243=""),"",IF(F1243&lt;=1,D1243,D1243*(1+F1243/30)))</f>
        <v/>
      </c>
      <c r="I1243" s="15" t="str">
        <f aca="false">IF(OR(D1243="",F1243="",G1243=""),"",IF(F1243+MAX(0,10-G1243)&lt;=1,D1243,D1243*(1+(F1243+MAX(0,10-G1243))/30)))</f>
        <v/>
      </c>
      <c r="J1243" s="16" t="str">
        <f aca="false">IF(A1243="","",IF(AND(C1243="yes",N(G1243)&gt;=7),N(E1243),0))</f>
        <v/>
      </c>
      <c r="K1243" s="17" t="str">
        <f aca="false">IF(A1243="","",A1243-WEEKDAY(A1243,3))</f>
        <v/>
      </c>
      <c r="L1243" s="11"/>
    </row>
    <row r="1244" customFormat="false" ht="15" hidden="false" customHeight="false" outlineLevel="0" collapsed="false">
      <c r="A1244" s="10"/>
      <c r="B1244" s="11"/>
      <c r="C1244" s="11"/>
      <c r="D1244" s="11"/>
      <c r="E1244" s="11"/>
      <c r="F1244" s="11"/>
      <c r="G1244" s="11"/>
      <c r="H1244" s="15" t="str">
        <f aca="false">IF(OR(D1244="",F1244=""),"",IF(F1244&lt;=1,D1244,D1244*(1+F1244/30)))</f>
        <v/>
      </c>
      <c r="I1244" s="15" t="str">
        <f aca="false">IF(OR(D1244="",F1244="",G1244=""),"",IF(F1244+MAX(0,10-G1244)&lt;=1,D1244,D1244*(1+(F1244+MAX(0,10-G1244))/30)))</f>
        <v/>
      </c>
      <c r="J1244" s="16" t="str">
        <f aca="false">IF(A1244="","",IF(AND(C1244="yes",N(G1244)&gt;=7),N(E1244),0))</f>
        <v/>
      </c>
      <c r="K1244" s="17" t="str">
        <f aca="false">IF(A1244="","",A1244-WEEKDAY(A1244,3))</f>
        <v/>
      </c>
      <c r="L1244" s="11"/>
    </row>
    <row r="1245" customFormat="false" ht="15" hidden="false" customHeight="false" outlineLevel="0" collapsed="false">
      <c r="A1245" s="10"/>
      <c r="B1245" s="11"/>
      <c r="C1245" s="11"/>
      <c r="D1245" s="11"/>
      <c r="E1245" s="11"/>
      <c r="F1245" s="11"/>
      <c r="G1245" s="11"/>
      <c r="H1245" s="15" t="str">
        <f aca="false">IF(OR(D1245="",F1245=""),"",IF(F1245&lt;=1,D1245,D1245*(1+F1245/30)))</f>
        <v/>
      </c>
      <c r="I1245" s="15" t="str">
        <f aca="false">IF(OR(D1245="",F1245="",G1245=""),"",IF(F1245+MAX(0,10-G1245)&lt;=1,D1245,D1245*(1+(F1245+MAX(0,10-G1245))/30)))</f>
        <v/>
      </c>
      <c r="J1245" s="16" t="str">
        <f aca="false">IF(A1245="","",IF(AND(C1245="yes",N(G1245)&gt;=7),N(E1245),0))</f>
        <v/>
      </c>
      <c r="K1245" s="17" t="str">
        <f aca="false">IF(A1245="","",A1245-WEEKDAY(A1245,3))</f>
        <v/>
      </c>
      <c r="L1245" s="11"/>
    </row>
    <row r="1246" customFormat="false" ht="15" hidden="false" customHeight="false" outlineLevel="0" collapsed="false">
      <c r="A1246" s="10"/>
      <c r="B1246" s="11"/>
      <c r="C1246" s="11"/>
      <c r="D1246" s="11"/>
      <c r="E1246" s="11"/>
      <c r="F1246" s="11"/>
      <c r="G1246" s="11"/>
      <c r="H1246" s="15" t="str">
        <f aca="false">IF(OR(D1246="",F1246=""),"",IF(F1246&lt;=1,D1246,D1246*(1+F1246/30)))</f>
        <v/>
      </c>
      <c r="I1246" s="15" t="str">
        <f aca="false">IF(OR(D1246="",F1246="",G1246=""),"",IF(F1246+MAX(0,10-G1246)&lt;=1,D1246,D1246*(1+(F1246+MAX(0,10-G1246))/30)))</f>
        <v/>
      </c>
      <c r="J1246" s="16" t="str">
        <f aca="false">IF(A1246="","",IF(AND(C1246="yes",N(G1246)&gt;=7),N(E1246),0))</f>
        <v/>
      </c>
      <c r="K1246" s="17" t="str">
        <f aca="false">IF(A1246="","",A1246-WEEKDAY(A1246,3))</f>
        <v/>
      </c>
      <c r="L1246" s="11"/>
    </row>
    <row r="1247" customFormat="false" ht="15" hidden="false" customHeight="false" outlineLevel="0" collapsed="false">
      <c r="A1247" s="10"/>
      <c r="B1247" s="11"/>
      <c r="C1247" s="11"/>
      <c r="D1247" s="11"/>
      <c r="E1247" s="11"/>
      <c r="F1247" s="11"/>
      <c r="G1247" s="11"/>
      <c r="H1247" s="15" t="str">
        <f aca="false">IF(OR(D1247="",F1247=""),"",IF(F1247&lt;=1,D1247,D1247*(1+F1247/30)))</f>
        <v/>
      </c>
      <c r="I1247" s="15" t="str">
        <f aca="false">IF(OR(D1247="",F1247="",G1247=""),"",IF(F1247+MAX(0,10-G1247)&lt;=1,D1247,D1247*(1+(F1247+MAX(0,10-G1247))/30)))</f>
        <v/>
      </c>
      <c r="J1247" s="16" t="str">
        <f aca="false">IF(A1247="","",IF(AND(C1247="yes",N(G1247)&gt;=7),N(E1247),0))</f>
        <v/>
      </c>
      <c r="K1247" s="17" t="str">
        <f aca="false">IF(A1247="","",A1247-WEEKDAY(A1247,3))</f>
        <v/>
      </c>
      <c r="L1247" s="11"/>
    </row>
    <row r="1248" customFormat="false" ht="15" hidden="false" customHeight="false" outlineLevel="0" collapsed="false">
      <c r="A1248" s="10"/>
      <c r="B1248" s="11"/>
      <c r="C1248" s="11"/>
      <c r="D1248" s="11"/>
      <c r="E1248" s="11"/>
      <c r="F1248" s="11"/>
      <c r="G1248" s="11"/>
      <c r="H1248" s="15" t="str">
        <f aca="false">IF(OR(D1248="",F1248=""),"",IF(F1248&lt;=1,D1248,D1248*(1+F1248/30)))</f>
        <v/>
      </c>
      <c r="I1248" s="15" t="str">
        <f aca="false">IF(OR(D1248="",F1248="",G1248=""),"",IF(F1248+MAX(0,10-G1248)&lt;=1,D1248,D1248*(1+(F1248+MAX(0,10-G1248))/30)))</f>
        <v/>
      </c>
      <c r="J1248" s="16" t="str">
        <f aca="false">IF(A1248="","",IF(AND(C1248="yes",N(G1248)&gt;=7),N(E1248),0))</f>
        <v/>
      </c>
      <c r="K1248" s="17" t="str">
        <f aca="false">IF(A1248="","",A1248-WEEKDAY(A1248,3))</f>
        <v/>
      </c>
      <c r="L1248" s="11"/>
    </row>
    <row r="1249" customFormat="false" ht="15" hidden="false" customHeight="false" outlineLevel="0" collapsed="false">
      <c r="A1249" s="10"/>
      <c r="B1249" s="11"/>
      <c r="C1249" s="11"/>
      <c r="D1249" s="11"/>
      <c r="E1249" s="11"/>
      <c r="F1249" s="11"/>
      <c r="G1249" s="11"/>
      <c r="H1249" s="15" t="str">
        <f aca="false">IF(OR(D1249="",F1249=""),"",IF(F1249&lt;=1,D1249,D1249*(1+F1249/30)))</f>
        <v/>
      </c>
      <c r="I1249" s="15" t="str">
        <f aca="false">IF(OR(D1249="",F1249="",G1249=""),"",IF(F1249+MAX(0,10-G1249)&lt;=1,D1249,D1249*(1+(F1249+MAX(0,10-G1249))/30)))</f>
        <v/>
      </c>
      <c r="J1249" s="16" t="str">
        <f aca="false">IF(A1249="","",IF(AND(C1249="yes",N(G1249)&gt;=7),N(E1249),0))</f>
        <v/>
      </c>
      <c r="K1249" s="17" t="str">
        <f aca="false">IF(A1249="","",A1249-WEEKDAY(A1249,3))</f>
        <v/>
      </c>
      <c r="L1249" s="11"/>
    </row>
    <row r="1250" customFormat="false" ht="15" hidden="false" customHeight="false" outlineLevel="0" collapsed="false">
      <c r="A1250" s="10"/>
      <c r="B1250" s="11"/>
      <c r="C1250" s="11"/>
      <c r="D1250" s="11"/>
      <c r="E1250" s="11"/>
      <c r="F1250" s="11"/>
      <c r="G1250" s="11"/>
      <c r="H1250" s="15" t="str">
        <f aca="false">IF(OR(D1250="",F1250=""),"",IF(F1250&lt;=1,D1250,D1250*(1+F1250/30)))</f>
        <v/>
      </c>
      <c r="I1250" s="15" t="str">
        <f aca="false">IF(OR(D1250="",F1250="",G1250=""),"",IF(F1250+MAX(0,10-G1250)&lt;=1,D1250,D1250*(1+(F1250+MAX(0,10-G1250))/30)))</f>
        <v/>
      </c>
      <c r="J1250" s="16" t="str">
        <f aca="false">IF(A1250="","",IF(AND(C1250="yes",N(G1250)&gt;=7),N(E1250),0))</f>
        <v/>
      </c>
      <c r="K1250" s="17" t="str">
        <f aca="false">IF(A1250="","",A1250-WEEKDAY(A1250,3))</f>
        <v/>
      </c>
      <c r="L1250" s="11"/>
    </row>
    <row r="1251" customFormat="false" ht="15" hidden="false" customHeight="false" outlineLevel="0" collapsed="false">
      <c r="A1251" s="10"/>
      <c r="B1251" s="11"/>
      <c r="C1251" s="11"/>
      <c r="D1251" s="11"/>
      <c r="E1251" s="11"/>
      <c r="F1251" s="11"/>
      <c r="G1251" s="11"/>
      <c r="H1251" s="15" t="str">
        <f aca="false">IF(OR(D1251="",F1251=""),"",IF(F1251&lt;=1,D1251,D1251*(1+F1251/30)))</f>
        <v/>
      </c>
      <c r="I1251" s="15" t="str">
        <f aca="false">IF(OR(D1251="",F1251="",G1251=""),"",IF(F1251+MAX(0,10-G1251)&lt;=1,D1251,D1251*(1+(F1251+MAX(0,10-G1251))/30)))</f>
        <v/>
      </c>
      <c r="J1251" s="16" t="str">
        <f aca="false">IF(A1251="","",IF(AND(C1251="yes",N(G1251)&gt;=7),N(E1251),0))</f>
        <v/>
      </c>
      <c r="K1251" s="17" t="str">
        <f aca="false">IF(A1251="","",A1251-WEEKDAY(A1251,3))</f>
        <v/>
      </c>
      <c r="L1251" s="11"/>
    </row>
    <row r="1252" customFormat="false" ht="15" hidden="false" customHeight="false" outlineLevel="0" collapsed="false">
      <c r="A1252" s="10"/>
      <c r="B1252" s="11"/>
      <c r="C1252" s="11"/>
      <c r="D1252" s="11"/>
      <c r="E1252" s="11"/>
      <c r="F1252" s="11"/>
      <c r="G1252" s="11"/>
      <c r="H1252" s="15" t="str">
        <f aca="false">IF(OR(D1252="",F1252=""),"",IF(F1252&lt;=1,D1252,D1252*(1+F1252/30)))</f>
        <v/>
      </c>
      <c r="I1252" s="15" t="str">
        <f aca="false">IF(OR(D1252="",F1252="",G1252=""),"",IF(F1252+MAX(0,10-G1252)&lt;=1,D1252,D1252*(1+(F1252+MAX(0,10-G1252))/30)))</f>
        <v/>
      </c>
      <c r="J1252" s="16" t="str">
        <f aca="false">IF(A1252="","",IF(AND(C1252="yes",N(G1252)&gt;=7),N(E1252),0))</f>
        <v/>
      </c>
      <c r="K1252" s="17" t="str">
        <f aca="false">IF(A1252="","",A1252-WEEKDAY(A1252,3))</f>
        <v/>
      </c>
      <c r="L1252" s="11"/>
    </row>
    <row r="1253" customFormat="false" ht="15" hidden="false" customHeight="false" outlineLevel="0" collapsed="false">
      <c r="A1253" s="10"/>
      <c r="B1253" s="11"/>
      <c r="C1253" s="11"/>
      <c r="D1253" s="11"/>
      <c r="E1253" s="11"/>
      <c r="F1253" s="11"/>
      <c r="G1253" s="11"/>
      <c r="H1253" s="15" t="str">
        <f aca="false">IF(OR(D1253="",F1253=""),"",IF(F1253&lt;=1,D1253,D1253*(1+F1253/30)))</f>
        <v/>
      </c>
      <c r="I1253" s="15" t="str">
        <f aca="false">IF(OR(D1253="",F1253="",G1253=""),"",IF(F1253+MAX(0,10-G1253)&lt;=1,D1253,D1253*(1+(F1253+MAX(0,10-G1253))/30)))</f>
        <v/>
      </c>
      <c r="J1253" s="16" t="str">
        <f aca="false">IF(A1253="","",IF(AND(C1253="yes",N(G1253)&gt;=7),N(E1253),0))</f>
        <v/>
      </c>
      <c r="K1253" s="17" t="str">
        <f aca="false">IF(A1253="","",A1253-WEEKDAY(A1253,3))</f>
        <v/>
      </c>
      <c r="L1253" s="11"/>
    </row>
    <row r="1254" customFormat="false" ht="15" hidden="false" customHeight="false" outlineLevel="0" collapsed="false">
      <c r="A1254" s="10"/>
      <c r="B1254" s="11"/>
      <c r="C1254" s="11"/>
      <c r="D1254" s="11"/>
      <c r="E1254" s="11"/>
      <c r="F1254" s="11"/>
      <c r="G1254" s="11"/>
      <c r="H1254" s="15" t="str">
        <f aca="false">IF(OR(D1254="",F1254=""),"",IF(F1254&lt;=1,D1254,D1254*(1+F1254/30)))</f>
        <v/>
      </c>
      <c r="I1254" s="15" t="str">
        <f aca="false">IF(OR(D1254="",F1254="",G1254=""),"",IF(F1254+MAX(0,10-G1254)&lt;=1,D1254,D1254*(1+(F1254+MAX(0,10-G1254))/30)))</f>
        <v/>
      </c>
      <c r="J1254" s="16" t="str">
        <f aca="false">IF(A1254="","",IF(AND(C1254="yes",N(G1254)&gt;=7),N(E1254),0))</f>
        <v/>
      </c>
      <c r="K1254" s="17" t="str">
        <f aca="false">IF(A1254="","",A1254-WEEKDAY(A1254,3))</f>
        <v/>
      </c>
      <c r="L1254" s="11"/>
    </row>
    <row r="1255" customFormat="false" ht="15" hidden="false" customHeight="false" outlineLevel="0" collapsed="false">
      <c r="A1255" s="10"/>
      <c r="B1255" s="11"/>
      <c r="C1255" s="11"/>
      <c r="D1255" s="11"/>
      <c r="E1255" s="11"/>
      <c r="F1255" s="11"/>
      <c r="G1255" s="11"/>
      <c r="H1255" s="15" t="str">
        <f aca="false">IF(OR(D1255="",F1255=""),"",IF(F1255&lt;=1,D1255,D1255*(1+F1255/30)))</f>
        <v/>
      </c>
      <c r="I1255" s="15" t="str">
        <f aca="false">IF(OR(D1255="",F1255="",G1255=""),"",IF(F1255+MAX(0,10-G1255)&lt;=1,D1255,D1255*(1+(F1255+MAX(0,10-G1255))/30)))</f>
        <v/>
      </c>
      <c r="J1255" s="16" t="str">
        <f aca="false">IF(A1255="","",IF(AND(C1255="yes",N(G1255)&gt;=7),N(E1255),0))</f>
        <v/>
      </c>
      <c r="K1255" s="17" t="str">
        <f aca="false">IF(A1255="","",A1255-WEEKDAY(A1255,3))</f>
        <v/>
      </c>
      <c r="L1255" s="11"/>
    </row>
    <row r="1256" customFormat="false" ht="15" hidden="false" customHeight="false" outlineLevel="0" collapsed="false">
      <c r="A1256" s="10"/>
      <c r="B1256" s="11"/>
      <c r="C1256" s="11"/>
      <c r="D1256" s="11"/>
      <c r="E1256" s="11"/>
      <c r="F1256" s="11"/>
      <c r="G1256" s="11"/>
      <c r="H1256" s="15" t="str">
        <f aca="false">IF(OR(D1256="",F1256=""),"",IF(F1256&lt;=1,D1256,D1256*(1+F1256/30)))</f>
        <v/>
      </c>
      <c r="I1256" s="15" t="str">
        <f aca="false">IF(OR(D1256="",F1256="",G1256=""),"",IF(F1256+MAX(0,10-G1256)&lt;=1,D1256,D1256*(1+(F1256+MAX(0,10-G1256))/30)))</f>
        <v/>
      </c>
      <c r="J1256" s="16" t="str">
        <f aca="false">IF(A1256="","",IF(AND(C1256="yes",N(G1256)&gt;=7),N(E1256),0))</f>
        <v/>
      </c>
      <c r="K1256" s="17" t="str">
        <f aca="false">IF(A1256="","",A1256-WEEKDAY(A1256,3))</f>
        <v/>
      </c>
      <c r="L1256" s="11"/>
    </row>
    <row r="1257" customFormat="false" ht="15" hidden="false" customHeight="false" outlineLevel="0" collapsed="false">
      <c r="A1257" s="10"/>
      <c r="B1257" s="11"/>
      <c r="C1257" s="11"/>
      <c r="D1257" s="11"/>
      <c r="E1257" s="11"/>
      <c r="F1257" s="11"/>
      <c r="G1257" s="11"/>
      <c r="H1257" s="15" t="str">
        <f aca="false">IF(OR(D1257="",F1257=""),"",IF(F1257&lt;=1,D1257,D1257*(1+F1257/30)))</f>
        <v/>
      </c>
      <c r="I1257" s="15" t="str">
        <f aca="false">IF(OR(D1257="",F1257="",G1257=""),"",IF(F1257+MAX(0,10-G1257)&lt;=1,D1257,D1257*(1+(F1257+MAX(0,10-G1257))/30)))</f>
        <v/>
      </c>
      <c r="J1257" s="16" t="str">
        <f aca="false">IF(A1257="","",IF(AND(C1257="yes",N(G1257)&gt;=7),N(E1257),0))</f>
        <v/>
      </c>
      <c r="K1257" s="17" t="str">
        <f aca="false">IF(A1257="","",A1257-WEEKDAY(A1257,3))</f>
        <v/>
      </c>
      <c r="L1257" s="11"/>
    </row>
    <row r="1258" customFormat="false" ht="15" hidden="false" customHeight="false" outlineLevel="0" collapsed="false">
      <c r="A1258" s="10"/>
      <c r="B1258" s="11"/>
      <c r="C1258" s="11"/>
      <c r="D1258" s="11"/>
      <c r="E1258" s="11"/>
      <c r="F1258" s="11"/>
      <c r="G1258" s="11"/>
      <c r="H1258" s="15" t="str">
        <f aca="false">IF(OR(D1258="",F1258=""),"",IF(F1258&lt;=1,D1258,D1258*(1+F1258/30)))</f>
        <v/>
      </c>
      <c r="I1258" s="15" t="str">
        <f aca="false">IF(OR(D1258="",F1258="",G1258=""),"",IF(F1258+MAX(0,10-G1258)&lt;=1,D1258,D1258*(1+(F1258+MAX(0,10-G1258))/30)))</f>
        <v/>
      </c>
      <c r="J1258" s="16" t="str">
        <f aca="false">IF(A1258="","",IF(AND(C1258="yes",N(G1258)&gt;=7),N(E1258),0))</f>
        <v/>
      </c>
      <c r="K1258" s="17" t="str">
        <f aca="false">IF(A1258="","",A1258-WEEKDAY(A1258,3))</f>
        <v/>
      </c>
      <c r="L1258" s="11"/>
    </row>
    <row r="1259" customFormat="false" ht="15" hidden="false" customHeight="false" outlineLevel="0" collapsed="false">
      <c r="A1259" s="10"/>
      <c r="B1259" s="11"/>
      <c r="C1259" s="11"/>
      <c r="D1259" s="11"/>
      <c r="E1259" s="11"/>
      <c r="F1259" s="11"/>
      <c r="G1259" s="11"/>
      <c r="H1259" s="15" t="str">
        <f aca="false">IF(OR(D1259="",F1259=""),"",IF(F1259&lt;=1,D1259,D1259*(1+F1259/30)))</f>
        <v/>
      </c>
      <c r="I1259" s="15" t="str">
        <f aca="false">IF(OR(D1259="",F1259="",G1259=""),"",IF(F1259+MAX(0,10-G1259)&lt;=1,D1259,D1259*(1+(F1259+MAX(0,10-G1259))/30)))</f>
        <v/>
      </c>
      <c r="J1259" s="16" t="str">
        <f aca="false">IF(A1259="","",IF(AND(C1259="yes",N(G1259)&gt;=7),N(E1259),0))</f>
        <v/>
      </c>
      <c r="K1259" s="17" t="str">
        <f aca="false">IF(A1259="","",A1259-WEEKDAY(A1259,3))</f>
        <v/>
      </c>
      <c r="L1259" s="11"/>
    </row>
    <row r="1260" customFormat="false" ht="15" hidden="false" customHeight="false" outlineLevel="0" collapsed="false">
      <c r="A1260" s="10"/>
      <c r="B1260" s="11"/>
      <c r="C1260" s="11"/>
      <c r="D1260" s="11"/>
      <c r="E1260" s="11"/>
      <c r="F1260" s="11"/>
      <c r="G1260" s="11"/>
      <c r="H1260" s="15" t="str">
        <f aca="false">IF(OR(D1260="",F1260=""),"",IF(F1260&lt;=1,D1260,D1260*(1+F1260/30)))</f>
        <v/>
      </c>
      <c r="I1260" s="15" t="str">
        <f aca="false">IF(OR(D1260="",F1260="",G1260=""),"",IF(F1260+MAX(0,10-G1260)&lt;=1,D1260,D1260*(1+(F1260+MAX(0,10-G1260))/30)))</f>
        <v/>
      </c>
      <c r="J1260" s="16" t="str">
        <f aca="false">IF(A1260="","",IF(AND(C1260="yes",N(G1260)&gt;=7),N(E1260),0))</f>
        <v/>
      </c>
      <c r="K1260" s="17" t="str">
        <f aca="false">IF(A1260="","",A1260-WEEKDAY(A1260,3))</f>
        <v/>
      </c>
      <c r="L1260" s="11"/>
    </row>
    <row r="1261" customFormat="false" ht="15" hidden="false" customHeight="false" outlineLevel="0" collapsed="false">
      <c r="A1261" s="10"/>
      <c r="B1261" s="11"/>
      <c r="C1261" s="11"/>
      <c r="D1261" s="11"/>
      <c r="E1261" s="11"/>
      <c r="F1261" s="11"/>
      <c r="G1261" s="11"/>
      <c r="H1261" s="15" t="str">
        <f aca="false">IF(OR(D1261="",F1261=""),"",IF(F1261&lt;=1,D1261,D1261*(1+F1261/30)))</f>
        <v/>
      </c>
      <c r="I1261" s="15" t="str">
        <f aca="false">IF(OR(D1261="",F1261="",G1261=""),"",IF(F1261+MAX(0,10-G1261)&lt;=1,D1261,D1261*(1+(F1261+MAX(0,10-G1261))/30)))</f>
        <v/>
      </c>
      <c r="J1261" s="16" t="str">
        <f aca="false">IF(A1261="","",IF(AND(C1261="yes",N(G1261)&gt;=7),N(E1261),0))</f>
        <v/>
      </c>
      <c r="K1261" s="17" t="str">
        <f aca="false">IF(A1261="","",A1261-WEEKDAY(A1261,3))</f>
        <v/>
      </c>
      <c r="L1261" s="11"/>
    </row>
    <row r="1262" customFormat="false" ht="15" hidden="false" customHeight="false" outlineLevel="0" collapsed="false">
      <c r="A1262" s="10"/>
      <c r="B1262" s="11"/>
      <c r="C1262" s="11"/>
      <c r="D1262" s="11"/>
      <c r="E1262" s="11"/>
      <c r="F1262" s="11"/>
      <c r="G1262" s="11"/>
      <c r="H1262" s="15" t="str">
        <f aca="false">IF(OR(D1262="",F1262=""),"",IF(F1262&lt;=1,D1262,D1262*(1+F1262/30)))</f>
        <v/>
      </c>
      <c r="I1262" s="15" t="str">
        <f aca="false">IF(OR(D1262="",F1262="",G1262=""),"",IF(F1262+MAX(0,10-G1262)&lt;=1,D1262,D1262*(1+(F1262+MAX(0,10-G1262))/30)))</f>
        <v/>
      </c>
      <c r="J1262" s="16" t="str">
        <f aca="false">IF(A1262="","",IF(AND(C1262="yes",N(G1262)&gt;=7),N(E1262),0))</f>
        <v/>
      </c>
      <c r="K1262" s="17" t="str">
        <f aca="false">IF(A1262="","",A1262-WEEKDAY(A1262,3))</f>
        <v/>
      </c>
      <c r="L1262" s="11"/>
    </row>
    <row r="1263" customFormat="false" ht="15" hidden="false" customHeight="false" outlineLevel="0" collapsed="false">
      <c r="A1263" s="10"/>
      <c r="B1263" s="11"/>
      <c r="C1263" s="11"/>
      <c r="D1263" s="11"/>
      <c r="E1263" s="11"/>
      <c r="F1263" s="11"/>
      <c r="G1263" s="11"/>
      <c r="H1263" s="15" t="str">
        <f aca="false">IF(OR(D1263="",F1263=""),"",IF(F1263&lt;=1,D1263,D1263*(1+F1263/30)))</f>
        <v/>
      </c>
      <c r="I1263" s="15" t="str">
        <f aca="false">IF(OR(D1263="",F1263="",G1263=""),"",IF(F1263+MAX(0,10-G1263)&lt;=1,D1263,D1263*(1+(F1263+MAX(0,10-G1263))/30)))</f>
        <v/>
      </c>
      <c r="J1263" s="16" t="str">
        <f aca="false">IF(A1263="","",IF(AND(C1263="yes",N(G1263)&gt;=7),N(E1263),0))</f>
        <v/>
      </c>
      <c r="K1263" s="17" t="str">
        <f aca="false">IF(A1263="","",A1263-WEEKDAY(A1263,3))</f>
        <v/>
      </c>
      <c r="L1263" s="11"/>
    </row>
    <row r="1264" customFormat="false" ht="15" hidden="false" customHeight="false" outlineLevel="0" collapsed="false">
      <c r="A1264" s="10"/>
      <c r="B1264" s="11"/>
      <c r="C1264" s="11"/>
      <c r="D1264" s="11"/>
      <c r="E1264" s="11"/>
      <c r="F1264" s="11"/>
      <c r="G1264" s="11"/>
      <c r="H1264" s="15" t="str">
        <f aca="false">IF(OR(D1264="",F1264=""),"",IF(F1264&lt;=1,D1264,D1264*(1+F1264/30)))</f>
        <v/>
      </c>
      <c r="I1264" s="15" t="str">
        <f aca="false">IF(OR(D1264="",F1264="",G1264=""),"",IF(F1264+MAX(0,10-G1264)&lt;=1,D1264,D1264*(1+(F1264+MAX(0,10-G1264))/30)))</f>
        <v/>
      </c>
      <c r="J1264" s="16" t="str">
        <f aca="false">IF(A1264="","",IF(AND(C1264="yes",N(G1264)&gt;=7),N(E1264),0))</f>
        <v/>
      </c>
      <c r="K1264" s="17" t="str">
        <f aca="false">IF(A1264="","",A1264-WEEKDAY(A1264,3))</f>
        <v/>
      </c>
      <c r="L1264" s="11"/>
    </row>
    <row r="1265" customFormat="false" ht="15" hidden="false" customHeight="false" outlineLevel="0" collapsed="false">
      <c r="A1265" s="10"/>
      <c r="B1265" s="11"/>
      <c r="C1265" s="11"/>
      <c r="D1265" s="11"/>
      <c r="E1265" s="11"/>
      <c r="F1265" s="11"/>
      <c r="G1265" s="11"/>
      <c r="H1265" s="15" t="str">
        <f aca="false">IF(OR(D1265="",F1265=""),"",IF(F1265&lt;=1,D1265,D1265*(1+F1265/30)))</f>
        <v/>
      </c>
      <c r="I1265" s="15" t="str">
        <f aca="false">IF(OR(D1265="",F1265="",G1265=""),"",IF(F1265+MAX(0,10-G1265)&lt;=1,D1265,D1265*(1+(F1265+MAX(0,10-G1265))/30)))</f>
        <v/>
      </c>
      <c r="J1265" s="16" t="str">
        <f aca="false">IF(A1265="","",IF(AND(C1265="yes",N(G1265)&gt;=7),N(E1265),0))</f>
        <v/>
      </c>
      <c r="K1265" s="17" t="str">
        <f aca="false">IF(A1265="","",A1265-WEEKDAY(A1265,3))</f>
        <v/>
      </c>
      <c r="L1265" s="11"/>
    </row>
    <row r="1266" customFormat="false" ht="15" hidden="false" customHeight="false" outlineLevel="0" collapsed="false">
      <c r="A1266" s="10"/>
      <c r="B1266" s="11"/>
      <c r="C1266" s="11"/>
      <c r="D1266" s="11"/>
      <c r="E1266" s="11"/>
      <c r="F1266" s="11"/>
      <c r="G1266" s="11"/>
      <c r="H1266" s="15" t="str">
        <f aca="false">IF(OR(D1266="",F1266=""),"",IF(F1266&lt;=1,D1266,D1266*(1+F1266/30)))</f>
        <v/>
      </c>
      <c r="I1266" s="15" t="str">
        <f aca="false">IF(OR(D1266="",F1266="",G1266=""),"",IF(F1266+MAX(0,10-G1266)&lt;=1,D1266,D1266*(1+(F1266+MAX(0,10-G1266))/30)))</f>
        <v/>
      </c>
      <c r="J1266" s="16" t="str">
        <f aca="false">IF(A1266="","",IF(AND(C1266="yes",N(G1266)&gt;=7),N(E1266),0))</f>
        <v/>
      </c>
      <c r="K1266" s="17" t="str">
        <f aca="false">IF(A1266="","",A1266-WEEKDAY(A1266,3))</f>
        <v/>
      </c>
      <c r="L1266" s="11"/>
    </row>
    <row r="1267" customFormat="false" ht="15" hidden="false" customHeight="false" outlineLevel="0" collapsed="false">
      <c r="A1267" s="10"/>
      <c r="B1267" s="11"/>
      <c r="C1267" s="11"/>
      <c r="D1267" s="11"/>
      <c r="E1267" s="11"/>
      <c r="F1267" s="11"/>
      <c r="G1267" s="11"/>
      <c r="H1267" s="15" t="str">
        <f aca="false">IF(OR(D1267="",F1267=""),"",IF(F1267&lt;=1,D1267,D1267*(1+F1267/30)))</f>
        <v/>
      </c>
      <c r="I1267" s="15" t="str">
        <f aca="false">IF(OR(D1267="",F1267="",G1267=""),"",IF(F1267+MAX(0,10-G1267)&lt;=1,D1267,D1267*(1+(F1267+MAX(0,10-G1267))/30)))</f>
        <v/>
      </c>
      <c r="J1267" s="16" t="str">
        <f aca="false">IF(A1267="","",IF(AND(C1267="yes",N(G1267)&gt;=7),N(E1267),0))</f>
        <v/>
      </c>
      <c r="K1267" s="17" t="str">
        <f aca="false">IF(A1267="","",A1267-WEEKDAY(A1267,3))</f>
        <v/>
      </c>
      <c r="L1267" s="11"/>
    </row>
    <row r="1268" customFormat="false" ht="15" hidden="false" customHeight="false" outlineLevel="0" collapsed="false">
      <c r="A1268" s="10"/>
      <c r="B1268" s="11"/>
      <c r="C1268" s="11"/>
      <c r="D1268" s="11"/>
      <c r="E1268" s="11"/>
      <c r="F1268" s="11"/>
      <c r="G1268" s="11"/>
      <c r="H1268" s="15" t="str">
        <f aca="false">IF(OR(D1268="",F1268=""),"",IF(F1268&lt;=1,D1268,D1268*(1+F1268/30)))</f>
        <v/>
      </c>
      <c r="I1268" s="15" t="str">
        <f aca="false">IF(OR(D1268="",F1268="",G1268=""),"",IF(F1268+MAX(0,10-G1268)&lt;=1,D1268,D1268*(1+(F1268+MAX(0,10-G1268))/30)))</f>
        <v/>
      </c>
      <c r="J1268" s="16" t="str">
        <f aca="false">IF(A1268="","",IF(AND(C1268="yes",N(G1268)&gt;=7),N(E1268),0))</f>
        <v/>
      </c>
      <c r="K1268" s="17" t="str">
        <f aca="false">IF(A1268="","",A1268-WEEKDAY(A1268,3))</f>
        <v/>
      </c>
      <c r="L1268" s="11"/>
    </row>
    <row r="1269" customFormat="false" ht="15" hidden="false" customHeight="false" outlineLevel="0" collapsed="false">
      <c r="A1269" s="10"/>
      <c r="B1269" s="11"/>
      <c r="C1269" s="11"/>
      <c r="D1269" s="11"/>
      <c r="E1269" s="11"/>
      <c r="F1269" s="11"/>
      <c r="G1269" s="11"/>
      <c r="H1269" s="15" t="str">
        <f aca="false">IF(OR(D1269="",F1269=""),"",IF(F1269&lt;=1,D1269,D1269*(1+F1269/30)))</f>
        <v/>
      </c>
      <c r="I1269" s="15" t="str">
        <f aca="false">IF(OR(D1269="",F1269="",G1269=""),"",IF(F1269+MAX(0,10-G1269)&lt;=1,D1269,D1269*(1+(F1269+MAX(0,10-G1269))/30)))</f>
        <v/>
      </c>
      <c r="J1269" s="16" t="str">
        <f aca="false">IF(A1269="","",IF(AND(C1269="yes",N(G1269)&gt;=7),N(E1269),0))</f>
        <v/>
      </c>
      <c r="K1269" s="17" t="str">
        <f aca="false">IF(A1269="","",A1269-WEEKDAY(A1269,3))</f>
        <v/>
      </c>
      <c r="L1269" s="11"/>
    </row>
    <row r="1270" customFormat="false" ht="15" hidden="false" customHeight="false" outlineLevel="0" collapsed="false">
      <c r="A1270" s="10"/>
      <c r="B1270" s="11"/>
      <c r="C1270" s="11"/>
      <c r="D1270" s="11"/>
      <c r="E1270" s="11"/>
      <c r="F1270" s="11"/>
      <c r="G1270" s="11"/>
      <c r="H1270" s="15" t="str">
        <f aca="false">IF(OR(D1270="",F1270=""),"",IF(F1270&lt;=1,D1270,D1270*(1+F1270/30)))</f>
        <v/>
      </c>
      <c r="I1270" s="15" t="str">
        <f aca="false">IF(OR(D1270="",F1270="",G1270=""),"",IF(F1270+MAX(0,10-G1270)&lt;=1,D1270,D1270*(1+(F1270+MAX(0,10-G1270))/30)))</f>
        <v/>
      </c>
      <c r="J1270" s="16" t="str">
        <f aca="false">IF(A1270="","",IF(AND(C1270="yes",N(G1270)&gt;=7),N(E1270),0))</f>
        <v/>
      </c>
      <c r="K1270" s="17" t="str">
        <f aca="false">IF(A1270="","",A1270-WEEKDAY(A1270,3))</f>
        <v/>
      </c>
      <c r="L1270" s="11"/>
    </row>
    <row r="1271" customFormat="false" ht="15" hidden="false" customHeight="false" outlineLevel="0" collapsed="false">
      <c r="A1271" s="10"/>
      <c r="B1271" s="11"/>
      <c r="C1271" s="11"/>
      <c r="D1271" s="11"/>
      <c r="E1271" s="11"/>
      <c r="F1271" s="11"/>
      <c r="G1271" s="11"/>
      <c r="H1271" s="15" t="str">
        <f aca="false">IF(OR(D1271="",F1271=""),"",IF(F1271&lt;=1,D1271,D1271*(1+F1271/30)))</f>
        <v/>
      </c>
      <c r="I1271" s="15" t="str">
        <f aca="false">IF(OR(D1271="",F1271="",G1271=""),"",IF(F1271+MAX(0,10-G1271)&lt;=1,D1271,D1271*(1+(F1271+MAX(0,10-G1271))/30)))</f>
        <v/>
      </c>
      <c r="J1271" s="16" t="str">
        <f aca="false">IF(A1271="","",IF(AND(C1271="yes",N(G1271)&gt;=7),N(E1271),0))</f>
        <v/>
      </c>
      <c r="K1271" s="17" t="str">
        <f aca="false">IF(A1271="","",A1271-WEEKDAY(A1271,3))</f>
        <v/>
      </c>
      <c r="L1271" s="11"/>
    </row>
    <row r="1272" customFormat="false" ht="15" hidden="false" customHeight="false" outlineLevel="0" collapsed="false">
      <c r="A1272" s="10"/>
      <c r="B1272" s="11"/>
      <c r="C1272" s="11"/>
      <c r="D1272" s="11"/>
      <c r="E1272" s="11"/>
      <c r="F1272" s="11"/>
      <c r="G1272" s="11"/>
      <c r="H1272" s="15" t="str">
        <f aca="false">IF(OR(D1272="",F1272=""),"",IF(F1272&lt;=1,D1272,D1272*(1+F1272/30)))</f>
        <v/>
      </c>
      <c r="I1272" s="15" t="str">
        <f aca="false">IF(OR(D1272="",F1272="",G1272=""),"",IF(F1272+MAX(0,10-G1272)&lt;=1,D1272,D1272*(1+(F1272+MAX(0,10-G1272))/30)))</f>
        <v/>
      </c>
      <c r="J1272" s="16" t="str">
        <f aca="false">IF(A1272="","",IF(AND(C1272="yes",N(G1272)&gt;=7),N(E1272),0))</f>
        <v/>
      </c>
      <c r="K1272" s="17" t="str">
        <f aca="false">IF(A1272="","",A1272-WEEKDAY(A1272,3))</f>
        <v/>
      </c>
      <c r="L1272" s="11"/>
    </row>
    <row r="1273" customFormat="false" ht="15" hidden="false" customHeight="false" outlineLevel="0" collapsed="false">
      <c r="A1273" s="10"/>
      <c r="B1273" s="11"/>
      <c r="C1273" s="11"/>
      <c r="D1273" s="11"/>
      <c r="E1273" s="11"/>
      <c r="F1273" s="11"/>
      <c r="G1273" s="11"/>
      <c r="H1273" s="15" t="str">
        <f aca="false">IF(OR(D1273="",F1273=""),"",IF(F1273&lt;=1,D1273,D1273*(1+F1273/30)))</f>
        <v/>
      </c>
      <c r="I1273" s="15" t="str">
        <f aca="false">IF(OR(D1273="",F1273="",G1273=""),"",IF(F1273+MAX(0,10-G1273)&lt;=1,D1273,D1273*(1+(F1273+MAX(0,10-G1273))/30)))</f>
        <v/>
      </c>
      <c r="J1273" s="16" t="str">
        <f aca="false">IF(A1273="","",IF(AND(C1273="yes",N(G1273)&gt;=7),N(E1273),0))</f>
        <v/>
      </c>
      <c r="K1273" s="17" t="str">
        <f aca="false">IF(A1273="","",A1273-WEEKDAY(A1273,3))</f>
        <v/>
      </c>
      <c r="L1273" s="11"/>
    </row>
    <row r="1274" customFormat="false" ht="15" hidden="false" customHeight="false" outlineLevel="0" collapsed="false">
      <c r="A1274" s="10"/>
      <c r="B1274" s="11"/>
      <c r="C1274" s="11"/>
      <c r="D1274" s="11"/>
      <c r="E1274" s="11"/>
      <c r="F1274" s="11"/>
      <c r="G1274" s="11"/>
      <c r="H1274" s="15" t="str">
        <f aca="false">IF(OR(D1274="",F1274=""),"",IF(F1274&lt;=1,D1274,D1274*(1+F1274/30)))</f>
        <v/>
      </c>
      <c r="I1274" s="15" t="str">
        <f aca="false">IF(OR(D1274="",F1274="",G1274=""),"",IF(F1274+MAX(0,10-G1274)&lt;=1,D1274,D1274*(1+(F1274+MAX(0,10-G1274))/30)))</f>
        <v/>
      </c>
      <c r="J1274" s="16" t="str">
        <f aca="false">IF(A1274="","",IF(AND(C1274="yes",N(G1274)&gt;=7),N(E1274),0))</f>
        <v/>
      </c>
      <c r="K1274" s="17" t="str">
        <f aca="false">IF(A1274="","",A1274-WEEKDAY(A1274,3))</f>
        <v/>
      </c>
      <c r="L1274" s="11"/>
    </row>
    <row r="1275" customFormat="false" ht="15" hidden="false" customHeight="false" outlineLevel="0" collapsed="false">
      <c r="A1275" s="10"/>
      <c r="B1275" s="11"/>
      <c r="C1275" s="11"/>
      <c r="D1275" s="11"/>
      <c r="E1275" s="11"/>
      <c r="F1275" s="11"/>
      <c r="G1275" s="11"/>
      <c r="H1275" s="15" t="str">
        <f aca="false">IF(OR(D1275="",F1275=""),"",IF(F1275&lt;=1,D1275,D1275*(1+F1275/30)))</f>
        <v/>
      </c>
      <c r="I1275" s="15" t="str">
        <f aca="false">IF(OR(D1275="",F1275="",G1275=""),"",IF(F1275+MAX(0,10-G1275)&lt;=1,D1275,D1275*(1+(F1275+MAX(0,10-G1275))/30)))</f>
        <v/>
      </c>
      <c r="J1275" s="16" t="str">
        <f aca="false">IF(A1275="","",IF(AND(C1275="yes",N(G1275)&gt;=7),N(E1275),0))</f>
        <v/>
      </c>
      <c r="K1275" s="17" t="str">
        <f aca="false">IF(A1275="","",A1275-WEEKDAY(A1275,3))</f>
        <v/>
      </c>
      <c r="L1275" s="11"/>
    </row>
    <row r="1276" customFormat="false" ht="15" hidden="false" customHeight="false" outlineLevel="0" collapsed="false">
      <c r="A1276" s="10"/>
      <c r="B1276" s="11"/>
      <c r="C1276" s="11"/>
      <c r="D1276" s="11"/>
      <c r="E1276" s="11"/>
      <c r="F1276" s="11"/>
      <c r="G1276" s="11"/>
      <c r="H1276" s="15" t="str">
        <f aca="false">IF(OR(D1276="",F1276=""),"",IF(F1276&lt;=1,D1276,D1276*(1+F1276/30)))</f>
        <v/>
      </c>
      <c r="I1276" s="15" t="str">
        <f aca="false">IF(OR(D1276="",F1276="",G1276=""),"",IF(F1276+MAX(0,10-G1276)&lt;=1,D1276,D1276*(1+(F1276+MAX(0,10-G1276))/30)))</f>
        <v/>
      </c>
      <c r="J1276" s="16" t="str">
        <f aca="false">IF(A1276="","",IF(AND(C1276="yes",N(G1276)&gt;=7),N(E1276),0))</f>
        <v/>
      </c>
      <c r="K1276" s="17" t="str">
        <f aca="false">IF(A1276="","",A1276-WEEKDAY(A1276,3))</f>
        <v/>
      </c>
      <c r="L1276" s="11"/>
    </row>
    <row r="1277" customFormat="false" ht="15" hidden="false" customHeight="false" outlineLevel="0" collapsed="false">
      <c r="A1277" s="10"/>
      <c r="B1277" s="11"/>
      <c r="C1277" s="11"/>
      <c r="D1277" s="11"/>
      <c r="E1277" s="11"/>
      <c r="F1277" s="11"/>
      <c r="G1277" s="11"/>
      <c r="H1277" s="15" t="str">
        <f aca="false">IF(OR(D1277="",F1277=""),"",IF(F1277&lt;=1,D1277,D1277*(1+F1277/30)))</f>
        <v/>
      </c>
      <c r="I1277" s="15" t="str">
        <f aca="false">IF(OR(D1277="",F1277="",G1277=""),"",IF(F1277+MAX(0,10-G1277)&lt;=1,D1277,D1277*(1+(F1277+MAX(0,10-G1277))/30)))</f>
        <v/>
      </c>
      <c r="J1277" s="16" t="str">
        <f aca="false">IF(A1277="","",IF(AND(C1277="yes",N(G1277)&gt;=7),N(E1277),0))</f>
        <v/>
      </c>
      <c r="K1277" s="17" t="str">
        <f aca="false">IF(A1277="","",A1277-WEEKDAY(A1277,3))</f>
        <v/>
      </c>
      <c r="L1277" s="11"/>
    </row>
    <row r="1278" customFormat="false" ht="15" hidden="false" customHeight="false" outlineLevel="0" collapsed="false">
      <c r="A1278" s="10"/>
      <c r="B1278" s="11"/>
      <c r="C1278" s="11"/>
      <c r="D1278" s="11"/>
      <c r="E1278" s="11"/>
      <c r="F1278" s="11"/>
      <c r="G1278" s="11"/>
      <c r="H1278" s="15" t="str">
        <f aca="false">IF(OR(D1278="",F1278=""),"",IF(F1278&lt;=1,D1278,D1278*(1+F1278/30)))</f>
        <v/>
      </c>
      <c r="I1278" s="15" t="str">
        <f aca="false">IF(OR(D1278="",F1278="",G1278=""),"",IF(F1278+MAX(0,10-G1278)&lt;=1,D1278,D1278*(1+(F1278+MAX(0,10-G1278))/30)))</f>
        <v/>
      </c>
      <c r="J1278" s="16" t="str">
        <f aca="false">IF(A1278="","",IF(AND(C1278="yes",N(G1278)&gt;=7),N(E1278),0))</f>
        <v/>
      </c>
      <c r="K1278" s="17" t="str">
        <f aca="false">IF(A1278="","",A1278-WEEKDAY(A1278,3))</f>
        <v/>
      </c>
      <c r="L1278" s="11"/>
    </row>
    <row r="1279" customFormat="false" ht="15" hidden="false" customHeight="false" outlineLevel="0" collapsed="false">
      <c r="A1279" s="10"/>
      <c r="B1279" s="11"/>
      <c r="C1279" s="11"/>
      <c r="D1279" s="11"/>
      <c r="E1279" s="11"/>
      <c r="F1279" s="11"/>
      <c r="G1279" s="11"/>
      <c r="H1279" s="15" t="str">
        <f aca="false">IF(OR(D1279="",F1279=""),"",IF(F1279&lt;=1,D1279,D1279*(1+F1279/30)))</f>
        <v/>
      </c>
      <c r="I1279" s="15" t="str">
        <f aca="false">IF(OR(D1279="",F1279="",G1279=""),"",IF(F1279+MAX(0,10-G1279)&lt;=1,D1279,D1279*(1+(F1279+MAX(0,10-G1279))/30)))</f>
        <v/>
      </c>
      <c r="J1279" s="16" t="str">
        <f aca="false">IF(A1279="","",IF(AND(C1279="yes",N(G1279)&gt;=7),N(E1279),0))</f>
        <v/>
      </c>
      <c r="K1279" s="17" t="str">
        <f aca="false">IF(A1279="","",A1279-WEEKDAY(A1279,3))</f>
        <v/>
      </c>
      <c r="L1279" s="11"/>
    </row>
    <row r="1280" customFormat="false" ht="15" hidden="false" customHeight="false" outlineLevel="0" collapsed="false">
      <c r="A1280" s="10"/>
      <c r="B1280" s="11"/>
      <c r="C1280" s="11"/>
      <c r="D1280" s="11"/>
      <c r="E1280" s="11"/>
      <c r="F1280" s="11"/>
      <c r="G1280" s="11"/>
      <c r="H1280" s="15" t="str">
        <f aca="false">IF(OR(D1280="",F1280=""),"",IF(F1280&lt;=1,D1280,D1280*(1+F1280/30)))</f>
        <v/>
      </c>
      <c r="I1280" s="15" t="str">
        <f aca="false">IF(OR(D1280="",F1280="",G1280=""),"",IF(F1280+MAX(0,10-G1280)&lt;=1,D1280,D1280*(1+(F1280+MAX(0,10-G1280))/30)))</f>
        <v/>
      </c>
      <c r="J1280" s="16" t="str">
        <f aca="false">IF(A1280="","",IF(AND(C1280="yes",N(G1280)&gt;=7),N(E1280),0))</f>
        <v/>
      </c>
      <c r="K1280" s="17" t="str">
        <f aca="false">IF(A1280="","",A1280-WEEKDAY(A1280,3))</f>
        <v/>
      </c>
      <c r="L1280" s="11"/>
    </row>
    <row r="1281" customFormat="false" ht="15" hidden="false" customHeight="false" outlineLevel="0" collapsed="false">
      <c r="A1281" s="10"/>
      <c r="B1281" s="11"/>
      <c r="C1281" s="11"/>
      <c r="D1281" s="11"/>
      <c r="E1281" s="11"/>
      <c r="F1281" s="11"/>
      <c r="G1281" s="11"/>
      <c r="H1281" s="15" t="str">
        <f aca="false">IF(OR(D1281="",F1281=""),"",IF(F1281&lt;=1,D1281,D1281*(1+F1281/30)))</f>
        <v/>
      </c>
      <c r="I1281" s="15" t="str">
        <f aca="false">IF(OR(D1281="",F1281="",G1281=""),"",IF(F1281+MAX(0,10-G1281)&lt;=1,D1281,D1281*(1+(F1281+MAX(0,10-G1281))/30)))</f>
        <v/>
      </c>
      <c r="J1281" s="16" t="str">
        <f aca="false">IF(A1281="","",IF(AND(C1281="yes",N(G1281)&gt;=7),N(E1281),0))</f>
        <v/>
      </c>
      <c r="K1281" s="17" t="str">
        <f aca="false">IF(A1281="","",A1281-WEEKDAY(A1281,3))</f>
        <v/>
      </c>
      <c r="L1281" s="11"/>
    </row>
    <row r="1282" customFormat="false" ht="15" hidden="false" customHeight="false" outlineLevel="0" collapsed="false">
      <c r="A1282" s="10"/>
      <c r="B1282" s="11"/>
      <c r="C1282" s="11"/>
      <c r="D1282" s="11"/>
      <c r="E1282" s="11"/>
      <c r="F1282" s="11"/>
      <c r="G1282" s="11"/>
      <c r="H1282" s="15" t="str">
        <f aca="false">IF(OR(D1282="",F1282=""),"",IF(F1282&lt;=1,D1282,D1282*(1+F1282/30)))</f>
        <v/>
      </c>
      <c r="I1282" s="15" t="str">
        <f aca="false">IF(OR(D1282="",F1282="",G1282=""),"",IF(F1282+MAX(0,10-G1282)&lt;=1,D1282,D1282*(1+(F1282+MAX(0,10-G1282))/30)))</f>
        <v/>
      </c>
      <c r="J1282" s="16" t="str">
        <f aca="false">IF(A1282="","",IF(AND(C1282="yes",N(G1282)&gt;=7),N(E1282),0))</f>
        <v/>
      </c>
      <c r="K1282" s="17" t="str">
        <f aca="false">IF(A1282="","",A1282-WEEKDAY(A1282,3))</f>
        <v/>
      </c>
      <c r="L1282" s="11"/>
    </row>
    <row r="1283" customFormat="false" ht="15" hidden="false" customHeight="false" outlineLevel="0" collapsed="false">
      <c r="A1283" s="10"/>
      <c r="B1283" s="11"/>
      <c r="C1283" s="11"/>
      <c r="D1283" s="11"/>
      <c r="E1283" s="11"/>
      <c r="F1283" s="11"/>
      <c r="G1283" s="11"/>
      <c r="H1283" s="15" t="str">
        <f aca="false">IF(OR(D1283="",F1283=""),"",IF(F1283&lt;=1,D1283,D1283*(1+F1283/30)))</f>
        <v/>
      </c>
      <c r="I1283" s="15" t="str">
        <f aca="false">IF(OR(D1283="",F1283="",G1283=""),"",IF(F1283+MAX(0,10-G1283)&lt;=1,D1283,D1283*(1+(F1283+MAX(0,10-G1283))/30)))</f>
        <v/>
      </c>
      <c r="J1283" s="16" t="str">
        <f aca="false">IF(A1283="","",IF(AND(C1283="yes",N(G1283)&gt;=7),N(E1283),0))</f>
        <v/>
      </c>
      <c r="K1283" s="17" t="str">
        <f aca="false">IF(A1283="","",A1283-WEEKDAY(A1283,3))</f>
        <v/>
      </c>
      <c r="L1283" s="11"/>
    </row>
    <row r="1284" customFormat="false" ht="15" hidden="false" customHeight="false" outlineLevel="0" collapsed="false">
      <c r="A1284" s="10"/>
      <c r="B1284" s="11"/>
      <c r="C1284" s="11"/>
      <c r="D1284" s="11"/>
      <c r="E1284" s="11"/>
      <c r="F1284" s="11"/>
      <c r="G1284" s="11"/>
      <c r="H1284" s="15" t="str">
        <f aca="false">IF(OR(D1284="",F1284=""),"",IF(F1284&lt;=1,D1284,D1284*(1+F1284/30)))</f>
        <v/>
      </c>
      <c r="I1284" s="15" t="str">
        <f aca="false">IF(OR(D1284="",F1284="",G1284=""),"",IF(F1284+MAX(0,10-G1284)&lt;=1,D1284,D1284*(1+(F1284+MAX(0,10-G1284))/30)))</f>
        <v/>
      </c>
      <c r="J1284" s="16" t="str">
        <f aca="false">IF(A1284="","",IF(AND(C1284="yes",N(G1284)&gt;=7),N(E1284),0))</f>
        <v/>
      </c>
      <c r="K1284" s="17" t="str">
        <f aca="false">IF(A1284="","",A1284-WEEKDAY(A1284,3))</f>
        <v/>
      </c>
      <c r="L1284" s="11"/>
    </row>
    <row r="1285" customFormat="false" ht="15" hidden="false" customHeight="false" outlineLevel="0" collapsed="false">
      <c r="A1285" s="10"/>
      <c r="B1285" s="11"/>
      <c r="C1285" s="11"/>
      <c r="D1285" s="11"/>
      <c r="E1285" s="11"/>
      <c r="F1285" s="11"/>
      <c r="G1285" s="11"/>
      <c r="H1285" s="15" t="str">
        <f aca="false">IF(OR(D1285="",F1285=""),"",IF(F1285&lt;=1,D1285,D1285*(1+F1285/30)))</f>
        <v/>
      </c>
      <c r="I1285" s="15" t="str">
        <f aca="false">IF(OR(D1285="",F1285="",G1285=""),"",IF(F1285+MAX(0,10-G1285)&lt;=1,D1285,D1285*(1+(F1285+MAX(0,10-G1285))/30)))</f>
        <v/>
      </c>
      <c r="J1285" s="16" t="str">
        <f aca="false">IF(A1285="","",IF(AND(C1285="yes",N(G1285)&gt;=7),N(E1285),0))</f>
        <v/>
      </c>
      <c r="K1285" s="17" t="str">
        <f aca="false">IF(A1285="","",A1285-WEEKDAY(A1285,3))</f>
        <v/>
      </c>
      <c r="L1285" s="11"/>
    </row>
    <row r="1286" customFormat="false" ht="15" hidden="false" customHeight="false" outlineLevel="0" collapsed="false">
      <c r="A1286" s="10"/>
      <c r="B1286" s="11"/>
      <c r="C1286" s="11"/>
      <c r="D1286" s="11"/>
      <c r="E1286" s="11"/>
      <c r="F1286" s="11"/>
      <c r="G1286" s="11"/>
      <c r="H1286" s="15" t="str">
        <f aca="false">IF(OR(D1286="",F1286=""),"",IF(F1286&lt;=1,D1286,D1286*(1+F1286/30)))</f>
        <v/>
      </c>
      <c r="I1286" s="15" t="str">
        <f aca="false">IF(OR(D1286="",F1286="",G1286=""),"",IF(F1286+MAX(0,10-G1286)&lt;=1,D1286,D1286*(1+(F1286+MAX(0,10-G1286))/30)))</f>
        <v/>
      </c>
      <c r="J1286" s="16" t="str">
        <f aca="false">IF(A1286="","",IF(AND(C1286="yes",N(G1286)&gt;=7),N(E1286),0))</f>
        <v/>
      </c>
      <c r="K1286" s="17" t="str">
        <f aca="false">IF(A1286="","",A1286-WEEKDAY(A1286,3))</f>
        <v/>
      </c>
      <c r="L1286" s="11"/>
    </row>
    <row r="1287" customFormat="false" ht="15" hidden="false" customHeight="false" outlineLevel="0" collapsed="false">
      <c r="A1287" s="10"/>
      <c r="B1287" s="11"/>
      <c r="C1287" s="11"/>
      <c r="D1287" s="11"/>
      <c r="E1287" s="11"/>
      <c r="F1287" s="11"/>
      <c r="G1287" s="11"/>
      <c r="H1287" s="15" t="str">
        <f aca="false">IF(OR(D1287="",F1287=""),"",IF(F1287&lt;=1,D1287,D1287*(1+F1287/30)))</f>
        <v/>
      </c>
      <c r="I1287" s="15" t="str">
        <f aca="false">IF(OR(D1287="",F1287="",G1287=""),"",IF(F1287+MAX(0,10-G1287)&lt;=1,D1287,D1287*(1+(F1287+MAX(0,10-G1287))/30)))</f>
        <v/>
      </c>
      <c r="J1287" s="16" t="str">
        <f aca="false">IF(A1287="","",IF(AND(C1287="yes",N(G1287)&gt;=7),N(E1287),0))</f>
        <v/>
      </c>
      <c r="K1287" s="17" t="str">
        <f aca="false">IF(A1287="","",A1287-WEEKDAY(A1287,3))</f>
        <v/>
      </c>
      <c r="L1287" s="11"/>
    </row>
    <row r="1288" customFormat="false" ht="15" hidden="false" customHeight="false" outlineLevel="0" collapsed="false">
      <c r="A1288" s="10"/>
      <c r="B1288" s="11"/>
      <c r="C1288" s="11"/>
      <c r="D1288" s="11"/>
      <c r="E1288" s="11"/>
      <c r="F1288" s="11"/>
      <c r="G1288" s="11"/>
      <c r="H1288" s="15" t="str">
        <f aca="false">IF(OR(D1288="",F1288=""),"",IF(F1288&lt;=1,D1288,D1288*(1+F1288/30)))</f>
        <v/>
      </c>
      <c r="I1288" s="15" t="str">
        <f aca="false">IF(OR(D1288="",F1288="",G1288=""),"",IF(F1288+MAX(0,10-G1288)&lt;=1,D1288,D1288*(1+(F1288+MAX(0,10-G1288))/30)))</f>
        <v/>
      </c>
      <c r="J1288" s="16" t="str">
        <f aca="false">IF(A1288="","",IF(AND(C1288="yes",N(G1288)&gt;=7),N(E1288),0))</f>
        <v/>
      </c>
      <c r="K1288" s="17" t="str">
        <f aca="false">IF(A1288="","",A1288-WEEKDAY(A1288,3))</f>
        <v/>
      </c>
      <c r="L1288" s="11"/>
    </row>
    <row r="1289" customFormat="false" ht="15" hidden="false" customHeight="false" outlineLevel="0" collapsed="false">
      <c r="A1289" s="10"/>
      <c r="B1289" s="11"/>
      <c r="C1289" s="11"/>
      <c r="D1289" s="11"/>
      <c r="E1289" s="11"/>
      <c r="F1289" s="11"/>
      <c r="G1289" s="11"/>
      <c r="H1289" s="15" t="str">
        <f aca="false">IF(OR(D1289="",F1289=""),"",IF(F1289&lt;=1,D1289,D1289*(1+F1289/30)))</f>
        <v/>
      </c>
      <c r="I1289" s="15" t="str">
        <f aca="false">IF(OR(D1289="",F1289="",G1289=""),"",IF(F1289+MAX(0,10-G1289)&lt;=1,D1289,D1289*(1+(F1289+MAX(0,10-G1289))/30)))</f>
        <v/>
      </c>
      <c r="J1289" s="16" t="str">
        <f aca="false">IF(A1289="","",IF(AND(C1289="yes",N(G1289)&gt;=7),N(E1289),0))</f>
        <v/>
      </c>
      <c r="K1289" s="17" t="str">
        <f aca="false">IF(A1289="","",A1289-WEEKDAY(A1289,3))</f>
        <v/>
      </c>
      <c r="L1289" s="11"/>
    </row>
    <row r="1290" customFormat="false" ht="15" hidden="false" customHeight="false" outlineLevel="0" collapsed="false">
      <c r="A1290" s="10"/>
      <c r="B1290" s="11"/>
      <c r="C1290" s="11"/>
      <c r="D1290" s="11"/>
      <c r="E1290" s="11"/>
      <c r="F1290" s="11"/>
      <c r="G1290" s="11"/>
      <c r="H1290" s="15" t="str">
        <f aca="false">IF(OR(D1290="",F1290=""),"",IF(F1290&lt;=1,D1290,D1290*(1+F1290/30)))</f>
        <v/>
      </c>
      <c r="I1290" s="15" t="str">
        <f aca="false">IF(OR(D1290="",F1290="",G1290=""),"",IF(F1290+MAX(0,10-G1290)&lt;=1,D1290,D1290*(1+(F1290+MAX(0,10-G1290))/30)))</f>
        <v/>
      </c>
      <c r="J1290" s="16" t="str">
        <f aca="false">IF(A1290="","",IF(AND(C1290="yes",N(G1290)&gt;=7),N(E1290),0))</f>
        <v/>
      </c>
      <c r="K1290" s="17" t="str">
        <f aca="false">IF(A1290="","",A1290-WEEKDAY(A1290,3))</f>
        <v/>
      </c>
      <c r="L1290" s="11"/>
    </row>
    <row r="1291" customFormat="false" ht="15" hidden="false" customHeight="false" outlineLevel="0" collapsed="false">
      <c r="A1291" s="10"/>
      <c r="B1291" s="11"/>
      <c r="C1291" s="11"/>
      <c r="D1291" s="11"/>
      <c r="E1291" s="11"/>
      <c r="F1291" s="11"/>
      <c r="G1291" s="11"/>
      <c r="H1291" s="15" t="str">
        <f aca="false">IF(OR(D1291="",F1291=""),"",IF(F1291&lt;=1,D1291,D1291*(1+F1291/30)))</f>
        <v/>
      </c>
      <c r="I1291" s="15" t="str">
        <f aca="false">IF(OR(D1291="",F1291="",G1291=""),"",IF(F1291+MAX(0,10-G1291)&lt;=1,D1291,D1291*(1+(F1291+MAX(0,10-G1291))/30)))</f>
        <v/>
      </c>
      <c r="J1291" s="16" t="str">
        <f aca="false">IF(A1291="","",IF(AND(C1291="yes",N(G1291)&gt;=7),N(E1291),0))</f>
        <v/>
      </c>
      <c r="K1291" s="17" t="str">
        <f aca="false">IF(A1291="","",A1291-WEEKDAY(A1291,3))</f>
        <v/>
      </c>
      <c r="L1291" s="11"/>
    </row>
    <row r="1292" customFormat="false" ht="15" hidden="false" customHeight="false" outlineLevel="0" collapsed="false">
      <c r="A1292" s="10"/>
      <c r="B1292" s="11"/>
      <c r="C1292" s="11"/>
      <c r="D1292" s="11"/>
      <c r="E1292" s="11"/>
      <c r="F1292" s="11"/>
      <c r="G1292" s="11"/>
      <c r="H1292" s="15" t="str">
        <f aca="false">IF(OR(D1292="",F1292=""),"",IF(F1292&lt;=1,D1292,D1292*(1+F1292/30)))</f>
        <v/>
      </c>
      <c r="I1292" s="15" t="str">
        <f aca="false">IF(OR(D1292="",F1292="",G1292=""),"",IF(F1292+MAX(0,10-G1292)&lt;=1,D1292,D1292*(1+(F1292+MAX(0,10-G1292))/30)))</f>
        <v/>
      </c>
      <c r="J1292" s="16" t="str">
        <f aca="false">IF(A1292="","",IF(AND(C1292="yes",N(G1292)&gt;=7),N(E1292),0))</f>
        <v/>
      </c>
      <c r="K1292" s="17" t="str">
        <f aca="false">IF(A1292="","",A1292-WEEKDAY(A1292,3))</f>
        <v/>
      </c>
      <c r="L1292" s="11"/>
    </row>
    <row r="1293" customFormat="false" ht="15" hidden="false" customHeight="false" outlineLevel="0" collapsed="false">
      <c r="A1293" s="10"/>
      <c r="B1293" s="11"/>
      <c r="C1293" s="11"/>
      <c r="D1293" s="11"/>
      <c r="E1293" s="11"/>
      <c r="F1293" s="11"/>
      <c r="G1293" s="11"/>
      <c r="H1293" s="15" t="str">
        <f aca="false">IF(OR(D1293="",F1293=""),"",IF(F1293&lt;=1,D1293,D1293*(1+F1293/30)))</f>
        <v/>
      </c>
      <c r="I1293" s="15" t="str">
        <f aca="false">IF(OR(D1293="",F1293="",G1293=""),"",IF(F1293+MAX(0,10-G1293)&lt;=1,D1293,D1293*(1+(F1293+MAX(0,10-G1293))/30)))</f>
        <v/>
      </c>
      <c r="J1293" s="16" t="str">
        <f aca="false">IF(A1293="","",IF(AND(C1293="yes",N(G1293)&gt;=7),N(E1293),0))</f>
        <v/>
      </c>
      <c r="K1293" s="17" t="str">
        <f aca="false">IF(A1293="","",A1293-WEEKDAY(A1293,3))</f>
        <v/>
      </c>
      <c r="L1293" s="11"/>
    </row>
    <row r="1294" customFormat="false" ht="15" hidden="false" customHeight="false" outlineLevel="0" collapsed="false">
      <c r="A1294" s="10"/>
      <c r="B1294" s="11"/>
      <c r="C1294" s="11"/>
      <c r="D1294" s="11"/>
      <c r="E1294" s="11"/>
      <c r="F1294" s="11"/>
      <c r="G1294" s="11"/>
      <c r="H1294" s="15" t="str">
        <f aca="false">IF(OR(D1294="",F1294=""),"",IF(F1294&lt;=1,D1294,D1294*(1+F1294/30)))</f>
        <v/>
      </c>
      <c r="I1294" s="15" t="str">
        <f aca="false">IF(OR(D1294="",F1294="",G1294=""),"",IF(F1294+MAX(0,10-G1294)&lt;=1,D1294,D1294*(1+(F1294+MAX(0,10-G1294))/30)))</f>
        <v/>
      </c>
      <c r="J1294" s="16" t="str">
        <f aca="false">IF(A1294="","",IF(AND(C1294="yes",N(G1294)&gt;=7),N(E1294),0))</f>
        <v/>
      </c>
      <c r="K1294" s="17" t="str">
        <f aca="false">IF(A1294="","",A1294-WEEKDAY(A1294,3))</f>
        <v/>
      </c>
      <c r="L1294" s="11"/>
    </row>
    <row r="1295" customFormat="false" ht="15" hidden="false" customHeight="false" outlineLevel="0" collapsed="false">
      <c r="A1295" s="10"/>
      <c r="B1295" s="11"/>
      <c r="C1295" s="11"/>
      <c r="D1295" s="11"/>
      <c r="E1295" s="11"/>
      <c r="F1295" s="11"/>
      <c r="G1295" s="11"/>
      <c r="H1295" s="15" t="str">
        <f aca="false">IF(OR(D1295="",F1295=""),"",IF(F1295&lt;=1,D1295,D1295*(1+F1295/30)))</f>
        <v/>
      </c>
      <c r="I1295" s="15" t="str">
        <f aca="false">IF(OR(D1295="",F1295="",G1295=""),"",IF(F1295+MAX(0,10-G1295)&lt;=1,D1295,D1295*(1+(F1295+MAX(0,10-G1295))/30)))</f>
        <v/>
      </c>
      <c r="J1295" s="16" t="str">
        <f aca="false">IF(A1295="","",IF(AND(C1295="yes",N(G1295)&gt;=7),N(E1295),0))</f>
        <v/>
      </c>
      <c r="K1295" s="17" t="str">
        <f aca="false">IF(A1295="","",A1295-WEEKDAY(A1295,3))</f>
        <v/>
      </c>
      <c r="L1295" s="11"/>
    </row>
    <row r="1296" customFormat="false" ht="15" hidden="false" customHeight="false" outlineLevel="0" collapsed="false">
      <c r="A1296" s="10"/>
      <c r="B1296" s="11"/>
      <c r="C1296" s="11"/>
      <c r="D1296" s="11"/>
      <c r="E1296" s="11"/>
      <c r="F1296" s="11"/>
      <c r="G1296" s="11"/>
      <c r="H1296" s="15" t="str">
        <f aca="false">IF(OR(D1296="",F1296=""),"",IF(F1296&lt;=1,D1296,D1296*(1+F1296/30)))</f>
        <v/>
      </c>
      <c r="I1296" s="15" t="str">
        <f aca="false">IF(OR(D1296="",F1296="",G1296=""),"",IF(F1296+MAX(0,10-G1296)&lt;=1,D1296,D1296*(1+(F1296+MAX(0,10-G1296))/30)))</f>
        <v/>
      </c>
      <c r="J1296" s="16" t="str">
        <f aca="false">IF(A1296="","",IF(AND(C1296="yes",N(G1296)&gt;=7),N(E1296),0))</f>
        <v/>
      </c>
      <c r="K1296" s="17" t="str">
        <f aca="false">IF(A1296="","",A1296-WEEKDAY(A1296,3))</f>
        <v/>
      </c>
      <c r="L1296" s="11"/>
    </row>
    <row r="1297" customFormat="false" ht="15" hidden="false" customHeight="false" outlineLevel="0" collapsed="false">
      <c r="A1297" s="10"/>
      <c r="B1297" s="11"/>
      <c r="C1297" s="11"/>
      <c r="D1297" s="11"/>
      <c r="E1297" s="11"/>
      <c r="F1297" s="11"/>
      <c r="G1297" s="11"/>
      <c r="H1297" s="15" t="str">
        <f aca="false">IF(OR(D1297="",F1297=""),"",IF(F1297&lt;=1,D1297,D1297*(1+F1297/30)))</f>
        <v/>
      </c>
      <c r="I1297" s="15" t="str">
        <f aca="false">IF(OR(D1297="",F1297="",G1297=""),"",IF(F1297+MAX(0,10-G1297)&lt;=1,D1297,D1297*(1+(F1297+MAX(0,10-G1297))/30)))</f>
        <v/>
      </c>
      <c r="J1297" s="16" t="str">
        <f aca="false">IF(A1297="","",IF(AND(C1297="yes",N(G1297)&gt;=7),N(E1297),0))</f>
        <v/>
      </c>
      <c r="K1297" s="17" t="str">
        <f aca="false">IF(A1297="","",A1297-WEEKDAY(A1297,3))</f>
        <v/>
      </c>
      <c r="L1297" s="11"/>
    </row>
    <row r="1298" customFormat="false" ht="15" hidden="false" customHeight="false" outlineLevel="0" collapsed="false">
      <c r="A1298" s="10"/>
      <c r="B1298" s="11"/>
      <c r="C1298" s="11"/>
      <c r="D1298" s="11"/>
      <c r="E1298" s="11"/>
      <c r="F1298" s="11"/>
      <c r="G1298" s="11"/>
      <c r="H1298" s="15" t="str">
        <f aca="false">IF(OR(D1298="",F1298=""),"",IF(F1298&lt;=1,D1298,D1298*(1+F1298/30)))</f>
        <v/>
      </c>
      <c r="I1298" s="15" t="str">
        <f aca="false">IF(OR(D1298="",F1298="",G1298=""),"",IF(F1298+MAX(0,10-G1298)&lt;=1,D1298,D1298*(1+(F1298+MAX(0,10-G1298))/30)))</f>
        <v/>
      </c>
      <c r="J1298" s="16" t="str">
        <f aca="false">IF(A1298="","",IF(AND(C1298="yes",N(G1298)&gt;=7),N(E1298),0))</f>
        <v/>
      </c>
      <c r="K1298" s="17" t="str">
        <f aca="false">IF(A1298="","",A1298-WEEKDAY(A1298,3))</f>
        <v/>
      </c>
      <c r="L1298" s="11"/>
    </row>
    <row r="1299" customFormat="false" ht="15" hidden="false" customHeight="false" outlineLevel="0" collapsed="false">
      <c r="A1299" s="10"/>
      <c r="B1299" s="11"/>
      <c r="C1299" s="11"/>
      <c r="D1299" s="11"/>
      <c r="E1299" s="11"/>
      <c r="F1299" s="11"/>
      <c r="G1299" s="11"/>
      <c r="H1299" s="15" t="str">
        <f aca="false">IF(OR(D1299="",F1299=""),"",IF(F1299&lt;=1,D1299,D1299*(1+F1299/30)))</f>
        <v/>
      </c>
      <c r="I1299" s="15" t="str">
        <f aca="false">IF(OR(D1299="",F1299="",G1299=""),"",IF(F1299+MAX(0,10-G1299)&lt;=1,D1299,D1299*(1+(F1299+MAX(0,10-G1299))/30)))</f>
        <v/>
      </c>
      <c r="J1299" s="16" t="str">
        <f aca="false">IF(A1299="","",IF(AND(C1299="yes",N(G1299)&gt;=7),N(E1299),0))</f>
        <v/>
      </c>
      <c r="K1299" s="17" t="str">
        <f aca="false">IF(A1299="","",A1299-WEEKDAY(A1299,3))</f>
        <v/>
      </c>
      <c r="L1299" s="11"/>
    </row>
    <row r="1300" customFormat="false" ht="15" hidden="false" customHeight="false" outlineLevel="0" collapsed="false">
      <c r="A1300" s="10"/>
      <c r="B1300" s="11"/>
      <c r="C1300" s="11"/>
      <c r="D1300" s="11"/>
      <c r="E1300" s="11"/>
      <c r="F1300" s="11"/>
      <c r="G1300" s="11"/>
      <c r="H1300" s="15" t="str">
        <f aca="false">IF(OR(D1300="",F1300=""),"",IF(F1300&lt;=1,D1300,D1300*(1+F1300/30)))</f>
        <v/>
      </c>
      <c r="I1300" s="15" t="str">
        <f aca="false">IF(OR(D1300="",F1300="",G1300=""),"",IF(F1300+MAX(0,10-G1300)&lt;=1,D1300,D1300*(1+(F1300+MAX(0,10-G1300))/30)))</f>
        <v/>
      </c>
      <c r="J1300" s="16" t="str">
        <f aca="false">IF(A1300="","",IF(AND(C1300="yes",N(G1300)&gt;=7),N(E1300),0))</f>
        <v/>
      </c>
      <c r="K1300" s="17" t="str">
        <f aca="false">IF(A1300="","",A1300-WEEKDAY(A1300,3))</f>
        <v/>
      </c>
      <c r="L1300" s="11"/>
    </row>
    <row r="1301" customFormat="false" ht="15" hidden="false" customHeight="false" outlineLevel="0" collapsed="false">
      <c r="A1301" s="10"/>
      <c r="B1301" s="11"/>
      <c r="C1301" s="11"/>
      <c r="D1301" s="11"/>
      <c r="E1301" s="11"/>
      <c r="F1301" s="11"/>
      <c r="G1301" s="11"/>
      <c r="H1301" s="15" t="str">
        <f aca="false">IF(OR(D1301="",F1301=""),"",IF(F1301&lt;=1,D1301,D1301*(1+F1301/30)))</f>
        <v/>
      </c>
      <c r="I1301" s="15" t="str">
        <f aca="false">IF(OR(D1301="",F1301="",G1301=""),"",IF(F1301+MAX(0,10-G1301)&lt;=1,D1301,D1301*(1+(F1301+MAX(0,10-G1301))/30)))</f>
        <v/>
      </c>
      <c r="J1301" s="16" t="str">
        <f aca="false">IF(A1301="","",IF(AND(C1301="yes",N(G1301)&gt;=7),N(E1301),0))</f>
        <v/>
      </c>
      <c r="K1301" s="17" t="str">
        <f aca="false">IF(A1301="","",A1301-WEEKDAY(A1301,3))</f>
        <v/>
      </c>
      <c r="L1301" s="11"/>
    </row>
    <row r="1302" customFormat="false" ht="15" hidden="false" customHeight="false" outlineLevel="0" collapsed="false">
      <c r="A1302" s="10"/>
      <c r="B1302" s="11"/>
      <c r="C1302" s="11"/>
      <c r="D1302" s="11"/>
      <c r="E1302" s="11"/>
      <c r="F1302" s="11"/>
      <c r="G1302" s="11"/>
      <c r="H1302" s="15" t="str">
        <f aca="false">IF(OR(D1302="",F1302=""),"",IF(F1302&lt;=1,D1302,D1302*(1+F1302/30)))</f>
        <v/>
      </c>
      <c r="I1302" s="15" t="str">
        <f aca="false">IF(OR(D1302="",F1302="",G1302=""),"",IF(F1302+MAX(0,10-G1302)&lt;=1,D1302,D1302*(1+(F1302+MAX(0,10-G1302))/30)))</f>
        <v/>
      </c>
      <c r="J1302" s="16" t="str">
        <f aca="false">IF(A1302="","",IF(AND(C1302="yes",N(G1302)&gt;=7),N(E1302),0))</f>
        <v/>
      </c>
      <c r="K1302" s="17" t="str">
        <f aca="false">IF(A1302="","",A1302-WEEKDAY(A1302,3))</f>
        <v/>
      </c>
      <c r="L1302" s="11"/>
    </row>
    <row r="1303" customFormat="false" ht="15" hidden="false" customHeight="false" outlineLevel="0" collapsed="false">
      <c r="A1303" s="10"/>
      <c r="B1303" s="11"/>
      <c r="C1303" s="11"/>
      <c r="D1303" s="11"/>
      <c r="E1303" s="11"/>
      <c r="F1303" s="11"/>
      <c r="G1303" s="11"/>
      <c r="H1303" s="15" t="str">
        <f aca="false">IF(OR(D1303="",F1303=""),"",IF(F1303&lt;=1,D1303,D1303*(1+F1303/30)))</f>
        <v/>
      </c>
      <c r="I1303" s="15" t="str">
        <f aca="false">IF(OR(D1303="",F1303="",G1303=""),"",IF(F1303+MAX(0,10-G1303)&lt;=1,D1303,D1303*(1+(F1303+MAX(0,10-G1303))/30)))</f>
        <v/>
      </c>
      <c r="J1303" s="16" t="str">
        <f aca="false">IF(A1303="","",IF(AND(C1303="yes",N(G1303)&gt;=7),N(E1303),0))</f>
        <v/>
      </c>
      <c r="K1303" s="17" t="str">
        <f aca="false">IF(A1303="","",A1303-WEEKDAY(A1303,3))</f>
        <v/>
      </c>
      <c r="L1303" s="11"/>
    </row>
    <row r="1304" customFormat="false" ht="15" hidden="false" customHeight="false" outlineLevel="0" collapsed="false">
      <c r="A1304" s="10"/>
      <c r="B1304" s="11"/>
      <c r="C1304" s="11"/>
      <c r="D1304" s="11"/>
      <c r="E1304" s="11"/>
      <c r="F1304" s="11"/>
      <c r="G1304" s="11"/>
      <c r="H1304" s="15" t="str">
        <f aca="false">IF(OR(D1304="",F1304=""),"",IF(F1304&lt;=1,D1304,D1304*(1+F1304/30)))</f>
        <v/>
      </c>
      <c r="I1304" s="15" t="str">
        <f aca="false">IF(OR(D1304="",F1304="",G1304=""),"",IF(F1304+MAX(0,10-G1304)&lt;=1,D1304,D1304*(1+(F1304+MAX(0,10-G1304))/30)))</f>
        <v/>
      </c>
      <c r="J1304" s="16" t="str">
        <f aca="false">IF(A1304="","",IF(AND(C1304="yes",N(G1304)&gt;=7),N(E1304),0))</f>
        <v/>
      </c>
      <c r="K1304" s="17" t="str">
        <f aca="false">IF(A1304="","",A1304-WEEKDAY(A1304,3))</f>
        <v/>
      </c>
      <c r="L1304" s="11"/>
    </row>
    <row r="1305" customFormat="false" ht="15" hidden="false" customHeight="false" outlineLevel="0" collapsed="false">
      <c r="A1305" s="10"/>
      <c r="B1305" s="11"/>
      <c r="C1305" s="11"/>
      <c r="D1305" s="11"/>
      <c r="E1305" s="11"/>
      <c r="F1305" s="11"/>
      <c r="G1305" s="11"/>
      <c r="H1305" s="15" t="str">
        <f aca="false">IF(OR(D1305="",F1305=""),"",IF(F1305&lt;=1,D1305,D1305*(1+F1305/30)))</f>
        <v/>
      </c>
      <c r="I1305" s="15" t="str">
        <f aca="false">IF(OR(D1305="",F1305="",G1305=""),"",IF(F1305+MAX(0,10-G1305)&lt;=1,D1305,D1305*(1+(F1305+MAX(0,10-G1305))/30)))</f>
        <v/>
      </c>
      <c r="J1305" s="16" t="str">
        <f aca="false">IF(A1305="","",IF(AND(C1305="yes",N(G1305)&gt;=7),N(E1305),0))</f>
        <v/>
      </c>
      <c r="K1305" s="17" t="str">
        <f aca="false">IF(A1305="","",A1305-WEEKDAY(A1305,3))</f>
        <v/>
      </c>
      <c r="L1305" s="11"/>
    </row>
    <row r="1306" customFormat="false" ht="15" hidden="false" customHeight="false" outlineLevel="0" collapsed="false">
      <c r="A1306" s="10"/>
      <c r="B1306" s="11"/>
      <c r="C1306" s="11"/>
      <c r="D1306" s="11"/>
      <c r="E1306" s="11"/>
      <c r="F1306" s="11"/>
      <c r="G1306" s="11"/>
      <c r="H1306" s="15" t="str">
        <f aca="false">IF(OR(D1306="",F1306=""),"",IF(F1306&lt;=1,D1306,D1306*(1+F1306/30)))</f>
        <v/>
      </c>
      <c r="I1306" s="15" t="str">
        <f aca="false">IF(OR(D1306="",F1306="",G1306=""),"",IF(F1306+MAX(0,10-G1306)&lt;=1,D1306,D1306*(1+(F1306+MAX(0,10-G1306))/30)))</f>
        <v/>
      </c>
      <c r="J1306" s="16" t="str">
        <f aca="false">IF(A1306="","",IF(AND(C1306="yes",N(G1306)&gt;=7),N(E1306),0))</f>
        <v/>
      </c>
      <c r="K1306" s="17" t="str">
        <f aca="false">IF(A1306="","",A1306-WEEKDAY(A1306,3))</f>
        <v/>
      </c>
      <c r="L1306" s="11"/>
    </row>
    <row r="1307" customFormat="false" ht="15" hidden="false" customHeight="false" outlineLevel="0" collapsed="false">
      <c r="A1307" s="10"/>
      <c r="B1307" s="11"/>
      <c r="C1307" s="11"/>
      <c r="D1307" s="11"/>
      <c r="E1307" s="11"/>
      <c r="F1307" s="11"/>
      <c r="G1307" s="11"/>
      <c r="H1307" s="15" t="str">
        <f aca="false">IF(OR(D1307="",F1307=""),"",IF(F1307&lt;=1,D1307,D1307*(1+F1307/30)))</f>
        <v/>
      </c>
      <c r="I1307" s="15" t="str">
        <f aca="false">IF(OR(D1307="",F1307="",G1307=""),"",IF(F1307+MAX(0,10-G1307)&lt;=1,D1307,D1307*(1+(F1307+MAX(0,10-G1307))/30)))</f>
        <v/>
      </c>
      <c r="J1307" s="16" t="str">
        <f aca="false">IF(A1307="","",IF(AND(C1307="yes",N(G1307)&gt;=7),N(E1307),0))</f>
        <v/>
      </c>
      <c r="K1307" s="17" t="str">
        <f aca="false">IF(A1307="","",A1307-WEEKDAY(A1307,3))</f>
        <v/>
      </c>
      <c r="L1307" s="11"/>
    </row>
    <row r="1308" customFormat="false" ht="15" hidden="false" customHeight="false" outlineLevel="0" collapsed="false">
      <c r="A1308" s="10"/>
      <c r="B1308" s="11"/>
      <c r="C1308" s="11"/>
      <c r="D1308" s="11"/>
      <c r="E1308" s="11"/>
      <c r="F1308" s="11"/>
      <c r="G1308" s="11"/>
      <c r="H1308" s="15" t="str">
        <f aca="false">IF(OR(D1308="",F1308=""),"",IF(F1308&lt;=1,D1308,D1308*(1+F1308/30)))</f>
        <v/>
      </c>
      <c r="I1308" s="15" t="str">
        <f aca="false">IF(OR(D1308="",F1308="",G1308=""),"",IF(F1308+MAX(0,10-G1308)&lt;=1,D1308,D1308*(1+(F1308+MAX(0,10-G1308))/30)))</f>
        <v/>
      </c>
      <c r="J1308" s="16" t="str">
        <f aca="false">IF(A1308="","",IF(AND(C1308="yes",N(G1308)&gt;=7),N(E1308),0))</f>
        <v/>
      </c>
      <c r="K1308" s="17" t="str">
        <f aca="false">IF(A1308="","",A1308-WEEKDAY(A1308,3))</f>
        <v/>
      </c>
      <c r="L1308" s="11"/>
    </row>
    <row r="1309" customFormat="false" ht="15" hidden="false" customHeight="false" outlineLevel="0" collapsed="false">
      <c r="A1309" s="10"/>
      <c r="B1309" s="11"/>
      <c r="C1309" s="11"/>
      <c r="D1309" s="11"/>
      <c r="E1309" s="11"/>
      <c r="F1309" s="11"/>
      <c r="G1309" s="11"/>
      <c r="H1309" s="15" t="str">
        <f aca="false">IF(OR(D1309="",F1309=""),"",IF(F1309&lt;=1,D1309,D1309*(1+F1309/30)))</f>
        <v/>
      </c>
      <c r="I1309" s="15" t="str">
        <f aca="false">IF(OR(D1309="",F1309="",G1309=""),"",IF(F1309+MAX(0,10-G1309)&lt;=1,D1309,D1309*(1+(F1309+MAX(0,10-G1309))/30)))</f>
        <v/>
      </c>
      <c r="J1309" s="16" t="str">
        <f aca="false">IF(A1309="","",IF(AND(C1309="yes",N(G1309)&gt;=7),N(E1309),0))</f>
        <v/>
      </c>
      <c r="K1309" s="17" t="str">
        <f aca="false">IF(A1309="","",A1309-WEEKDAY(A1309,3))</f>
        <v/>
      </c>
      <c r="L1309" s="11"/>
    </row>
    <row r="1310" customFormat="false" ht="15" hidden="false" customHeight="false" outlineLevel="0" collapsed="false">
      <c r="A1310" s="10"/>
      <c r="B1310" s="11"/>
      <c r="C1310" s="11"/>
      <c r="D1310" s="11"/>
      <c r="E1310" s="11"/>
      <c r="F1310" s="11"/>
      <c r="G1310" s="11"/>
      <c r="H1310" s="15" t="str">
        <f aca="false">IF(OR(D1310="",F1310=""),"",IF(F1310&lt;=1,D1310,D1310*(1+F1310/30)))</f>
        <v/>
      </c>
      <c r="I1310" s="15" t="str">
        <f aca="false">IF(OR(D1310="",F1310="",G1310=""),"",IF(F1310+MAX(0,10-G1310)&lt;=1,D1310,D1310*(1+(F1310+MAX(0,10-G1310))/30)))</f>
        <v/>
      </c>
      <c r="J1310" s="16" t="str">
        <f aca="false">IF(A1310="","",IF(AND(C1310="yes",N(G1310)&gt;=7),N(E1310),0))</f>
        <v/>
      </c>
      <c r="K1310" s="17" t="str">
        <f aca="false">IF(A1310="","",A1310-WEEKDAY(A1310,3))</f>
        <v/>
      </c>
      <c r="L1310" s="11"/>
    </row>
    <row r="1311" customFormat="false" ht="15" hidden="false" customHeight="false" outlineLevel="0" collapsed="false">
      <c r="A1311" s="10"/>
      <c r="B1311" s="11"/>
      <c r="C1311" s="11"/>
      <c r="D1311" s="11"/>
      <c r="E1311" s="11"/>
      <c r="F1311" s="11"/>
      <c r="G1311" s="11"/>
      <c r="H1311" s="15" t="str">
        <f aca="false">IF(OR(D1311="",F1311=""),"",IF(F1311&lt;=1,D1311,D1311*(1+F1311/30)))</f>
        <v/>
      </c>
      <c r="I1311" s="15" t="str">
        <f aca="false">IF(OR(D1311="",F1311="",G1311=""),"",IF(F1311+MAX(0,10-G1311)&lt;=1,D1311,D1311*(1+(F1311+MAX(0,10-G1311))/30)))</f>
        <v/>
      </c>
      <c r="J1311" s="16" t="str">
        <f aca="false">IF(A1311="","",IF(AND(C1311="yes",N(G1311)&gt;=7),N(E1311),0))</f>
        <v/>
      </c>
      <c r="K1311" s="17" t="str">
        <f aca="false">IF(A1311="","",A1311-WEEKDAY(A1311,3))</f>
        <v/>
      </c>
      <c r="L1311" s="11"/>
    </row>
    <row r="1312" customFormat="false" ht="15" hidden="false" customHeight="false" outlineLevel="0" collapsed="false">
      <c r="A1312" s="10"/>
      <c r="B1312" s="11"/>
      <c r="C1312" s="11"/>
      <c r="D1312" s="11"/>
      <c r="E1312" s="11"/>
      <c r="F1312" s="11"/>
      <c r="G1312" s="11"/>
      <c r="H1312" s="15" t="str">
        <f aca="false">IF(OR(D1312="",F1312=""),"",IF(F1312&lt;=1,D1312,D1312*(1+F1312/30)))</f>
        <v/>
      </c>
      <c r="I1312" s="15" t="str">
        <f aca="false">IF(OR(D1312="",F1312="",G1312=""),"",IF(F1312+MAX(0,10-G1312)&lt;=1,D1312,D1312*(1+(F1312+MAX(0,10-G1312))/30)))</f>
        <v/>
      </c>
      <c r="J1312" s="16" t="str">
        <f aca="false">IF(A1312="","",IF(AND(C1312="yes",N(G1312)&gt;=7),N(E1312),0))</f>
        <v/>
      </c>
      <c r="K1312" s="17" t="str">
        <f aca="false">IF(A1312="","",A1312-WEEKDAY(A1312,3))</f>
        <v/>
      </c>
      <c r="L1312" s="11"/>
    </row>
    <row r="1313" customFormat="false" ht="15" hidden="false" customHeight="false" outlineLevel="0" collapsed="false">
      <c r="A1313" s="10"/>
      <c r="B1313" s="11"/>
      <c r="C1313" s="11"/>
      <c r="D1313" s="11"/>
      <c r="E1313" s="11"/>
      <c r="F1313" s="11"/>
      <c r="G1313" s="11"/>
      <c r="H1313" s="15" t="str">
        <f aca="false">IF(OR(D1313="",F1313=""),"",IF(F1313&lt;=1,D1313,D1313*(1+F1313/30)))</f>
        <v/>
      </c>
      <c r="I1313" s="15" t="str">
        <f aca="false">IF(OR(D1313="",F1313="",G1313=""),"",IF(F1313+MAX(0,10-G1313)&lt;=1,D1313,D1313*(1+(F1313+MAX(0,10-G1313))/30)))</f>
        <v/>
      </c>
      <c r="J1313" s="16" t="str">
        <f aca="false">IF(A1313="","",IF(AND(C1313="yes",N(G1313)&gt;=7),N(E1313),0))</f>
        <v/>
      </c>
      <c r="K1313" s="17" t="str">
        <f aca="false">IF(A1313="","",A1313-WEEKDAY(A1313,3))</f>
        <v/>
      </c>
      <c r="L1313" s="11"/>
    </row>
    <row r="1314" customFormat="false" ht="15" hidden="false" customHeight="false" outlineLevel="0" collapsed="false">
      <c r="A1314" s="10"/>
      <c r="B1314" s="11"/>
      <c r="C1314" s="11"/>
      <c r="D1314" s="11"/>
      <c r="E1314" s="11"/>
      <c r="F1314" s="11"/>
      <c r="G1314" s="11"/>
      <c r="H1314" s="15" t="str">
        <f aca="false">IF(OR(D1314="",F1314=""),"",IF(F1314&lt;=1,D1314,D1314*(1+F1314/30)))</f>
        <v/>
      </c>
      <c r="I1314" s="15" t="str">
        <f aca="false">IF(OR(D1314="",F1314="",G1314=""),"",IF(F1314+MAX(0,10-G1314)&lt;=1,D1314,D1314*(1+(F1314+MAX(0,10-G1314))/30)))</f>
        <v/>
      </c>
      <c r="J1314" s="16" t="str">
        <f aca="false">IF(A1314="","",IF(AND(C1314="yes",N(G1314)&gt;=7),N(E1314),0))</f>
        <v/>
      </c>
      <c r="K1314" s="17" t="str">
        <f aca="false">IF(A1314="","",A1314-WEEKDAY(A1314,3))</f>
        <v/>
      </c>
      <c r="L1314" s="11"/>
    </row>
    <row r="1315" customFormat="false" ht="15" hidden="false" customHeight="false" outlineLevel="0" collapsed="false">
      <c r="A1315" s="10"/>
      <c r="B1315" s="11"/>
      <c r="C1315" s="11"/>
      <c r="D1315" s="11"/>
      <c r="E1315" s="11"/>
      <c r="F1315" s="11"/>
      <c r="G1315" s="11"/>
      <c r="H1315" s="15" t="str">
        <f aca="false">IF(OR(D1315="",F1315=""),"",IF(F1315&lt;=1,D1315,D1315*(1+F1315/30)))</f>
        <v/>
      </c>
      <c r="I1315" s="15" t="str">
        <f aca="false">IF(OR(D1315="",F1315="",G1315=""),"",IF(F1315+MAX(0,10-G1315)&lt;=1,D1315,D1315*(1+(F1315+MAX(0,10-G1315))/30)))</f>
        <v/>
      </c>
      <c r="J1315" s="16" t="str">
        <f aca="false">IF(A1315="","",IF(AND(C1315="yes",N(G1315)&gt;=7),N(E1315),0))</f>
        <v/>
      </c>
      <c r="K1315" s="17" t="str">
        <f aca="false">IF(A1315="","",A1315-WEEKDAY(A1315,3))</f>
        <v/>
      </c>
      <c r="L1315" s="11"/>
    </row>
    <row r="1316" customFormat="false" ht="15" hidden="false" customHeight="false" outlineLevel="0" collapsed="false">
      <c r="A1316" s="10"/>
      <c r="B1316" s="11"/>
      <c r="C1316" s="11"/>
      <c r="D1316" s="11"/>
      <c r="E1316" s="11"/>
      <c r="F1316" s="11"/>
      <c r="G1316" s="11"/>
      <c r="H1316" s="15" t="str">
        <f aca="false">IF(OR(D1316="",F1316=""),"",IF(F1316&lt;=1,D1316,D1316*(1+F1316/30)))</f>
        <v/>
      </c>
      <c r="I1316" s="15" t="str">
        <f aca="false">IF(OR(D1316="",F1316="",G1316=""),"",IF(F1316+MAX(0,10-G1316)&lt;=1,D1316,D1316*(1+(F1316+MAX(0,10-G1316))/30)))</f>
        <v/>
      </c>
      <c r="J1316" s="16" t="str">
        <f aca="false">IF(A1316="","",IF(AND(C1316="yes",N(G1316)&gt;=7),N(E1316),0))</f>
        <v/>
      </c>
      <c r="K1316" s="17" t="str">
        <f aca="false">IF(A1316="","",A1316-WEEKDAY(A1316,3))</f>
        <v/>
      </c>
      <c r="L1316" s="11"/>
    </row>
    <row r="1317" customFormat="false" ht="15" hidden="false" customHeight="false" outlineLevel="0" collapsed="false">
      <c r="A1317" s="10"/>
      <c r="B1317" s="11"/>
      <c r="C1317" s="11"/>
      <c r="D1317" s="11"/>
      <c r="E1317" s="11"/>
      <c r="F1317" s="11"/>
      <c r="G1317" s="11"/>
      <c r="H1317" s="15" t="str">
        <f aca="false">IF(OR(D1317="",F1317=""),"",IF(F1317&lt;=1,D1317,D1317*(1+F1317/30)))</f>
        <v/>
      </c>
      <c r="I1317" s="15" t="str">
        <f aca="false">IF(OR(D1317="",F1317="",G1317=""),"",IF(F1317+MAX(0,10-G1317)&lt;=1,D1317,D1317*(1+(F1317+MAX(0,10-G1317))/30)))</f>
        <v/>
      </c>
      <c r="J1317" s="16" t="str">
        <f aca="false">IF(A1317="","",IF(AND(C1317="yes",N(G1317)&gt;=7),N(E1317),0))</f>
        <v/>
      </c>
      <c r="K1317" s="17" t="str">
        <f aca="false">IF(A1317="","",A1317-WEEKDAY(A1317,3))</f>
        <v/>
      </c>
      <c r="L1317" s="11"/>
    </row>
    <row r="1318" customFormat="false" ht="15" hidden="false" customHeight="false" outlineLevel="0" collapsed="false">
      <c r="A1318" s="10"/>
      <c r="B1318" s="11"/>
      <c r="C1318" s="11"/>
      <c r="D1318" s="11"/>
      <c r="E1318" s="11"/>
      <c r="F1318" s="11"/>
      <c r="G1318" s="11"/>
      <c r="H1318" s="15" t="str">
        <f aca="false">IF(OR(D1318="",F1318=""),"",IF(F1318&lt;=1,D1318,D1318*(1+F1318/30)))</f>
        <v/>
      </c>
      <c r="I1318" s="15" t="str">
        <f aca="false">IF(OR(D1318="",F1318="",G1318=""),"",IF(F1318+MAX(0,10-G1318)&lt;=1,D1318,D1318*(1+(F1318+MAX(0,10-G1318))/30)))</f>
        <v/>
      </c>
      <c r="J1318" s="16" t="str">
        <f aca="false">IF(A1318="","",IF(AND(C1318="yes",N(G1318)&gt;=7),N(E1318),0))</f>
        <v/>
      </c>
      <c r="K1318" s="17" t="str">
        <f aca="false">IF(A1318="","",A1318-WEEKDAY(A1318,3))</f>
        <v/>
      </c>
      <c r="L1318" s="11"/>
    </row>
    <row r="1319" customFormat="false" ht="15" hidden="false" customHeight="false" outlineLevel="0" collapsed="false">
      <c r="A1319" s="10"/>
      <c r="B1319" s="11"/>
      <c r="C1319" s="11"/>
      <c r="D1319" s="11"/>
      <c r="E1319" s="11"/>
      <c r="F1319" s="11"/>
      <c r="G1319" s="11"/>
      <c r="H1319" s="15" t="str">
        <f aca="false">IF(OR(D1319="",F1319=""),"",IF(F1319&lt;=1,D1319,D1319*(1+F1319/30)))</f>
        <v/>
      </c>
      <c r="I1319" s="15" t="str">
        <f aca="false">IF(OR(D1319="",F1319="",G1319=""),"",IF(F1319+MAX(0,10-G1319)&lt;=1,D1319,D1319*(1+(F1319+MAX(0,10-G1319))/30)))</f>
        <v/>
      </c>
      <c r="J1319" s="16" t="str">
        <f aca="false">IF(A1319="","",IF(AND(C1319="yes",N(G1319)&gt;=7),N(E1319),0))</f>
        <v/>
      </c>
      <c r="K1319" s="17" t="str">
        <f aca="false">IF(A1319="","",A1319-WEEKDAY(A1319,3))</f>
        <v/>
      </c>
      <c r="L1319" s="11"/>
    </row>
    <row r="1320" customFormat="false" ht="15" hidden="false" customHeight="false" outlineLevel="0" collapsed="false">
      <c r="A1320" s="10"/>
      <c r="B1320" s="11"/>
      <c r="C1320" s="11"/>
      <c r="D1320" s="11"/>
      <c r="E1320" s="11"/>
      <c r="F1320" s="11"/>
      <c r="G1320" s="11"/>
      <c r="H1320" s="15" t="str">
        <f aca="false">IF(OR(D1320="",F1320=""),"",IF(F1320&lt;=1,D1320,D1320*(1+F1320/30)))</f>
        <v/>
      </c>
      <c r="I1320" s="15" t="str">
        <f aca="false">IF(OR(D1320="",F1320="",G1320=""),"",IF(F1320+MAX(0,10-G1320)&lt;=1,D1320,D1320*(1+(F1320+MAX(0,10-G1320))/30)))</f>
        <v/>
      </c>
      <c r="J1320" s="16" t="str">
        <f aca="false">IF(A1320="","",IF(AND(C1320="yes",N(G1320)&gt;=7),N(E1320),0))</f>
        <v/>
      </c>
      <c r="K1320" s="17" t="str">
        <f aca="false">IF(A1320="","",A1320-WEEKDAY(A1320,3))</f>
        <v/>
      </c>
      <c r="L1320" s="11"/>
    </row>
    <row r="1321" customFormat="false" ht="15" hidden="false" customHeight="false" outlineLevel="0" collapsed="false">
      <c r="A1321" s="10"/>
      <c r="B1321" s="11"/>
      <c r="C1321" s="11"/>
      <c r="D1321" s="11"/>
      <c r="E1321" s="11"/>
      <c r="F1321" s="11"/>
      <c r="G1321" s="11"/>
      <c r="H1321" s="15" t="str">
        <f aca="false">IF(OR(D1321="",F1321=""),"",IF(F1321&lt;=1,D1321,D1321*(1+F1321/30)))</f>
        <v/>
      </c>
      <c r="I1321" s="15" t="str">
        <f aca="false">IF(OR(D1321="",F1321="",G1321=""),"",IF(F1321+MAX(0,10-G1321)&lt;=1,D1321,D1321*(1+(F1321+MAX(0,10-G1321))/30)))</f>
        <v/>
      </c>
      <c r="J1321" s="16" t="str">
        <f aca="false">IF(A1321="","",IF(AND(C1321="yes",N(G1321)&gt;=7),N(E1321),0))</f>
        <v/>
      </c>
      <c r="K1321" s="17" t="str">
        <f aca="false">IF(A1321="","",A1321-WEEKDAY(A1321,3))</f>
        <v/>
      </c>
      <c r="L1321" s="11"/>
    </row>
    <row r="1322" customFormat="false" ht="15" hidden="false" customHeight="false" outlineLevel="0" collapsed="false">
      <c r="A1322" s="10"/>
      <c r="B1322" s="11"/>
      <c r="C1322" s="11"/>
      <c r="D1322" s="11"/>
      <c r="E1322" s="11"/>
      <c r="F1322" s="11"/>
      <c r="G1322" s="11"/>
      <c r="H1322" s="15" t="str">
        <f aca="false">IF(OR(D1322="",F1322=""),"",IF(F1322&lt;=1,D1322,D1322*(1+F1322/30)))</f>
        <v/>
      </c>
      <c r="I1322" s="15" t="str">
        <f aca="false">IF(OR(D1322="",F1322="",G1322=""),"",IF(F1322+MAX(0,10-G1322)&lt;=1,D1322,D1322*(1+(F1322+MAX(0,10-G1322))/30)))</f>
        <v/>
      </c>
      <c r="J1322" s="16" t="str">
        <f aca="false">IF(A1322="","",IF(AND(C1322="yes",N(G1322)&gt;=7),N(E1322),0))</f>
        <v/>
      </c>
      <c r="K1322" s="17" t="str">
        <f aca="false">IF(A1322="","",A1322-WEEKDAY(A1322,3))</f>
        <v/>
      </c>
      <c r="L1322" s="11"/>
    </row>
    <row r="1323" customFormat="false" ht="15" hidden="false" customHeight="false" outlineLevel="0" collapsed="false">
      <c r="A1323" s="10"/>
      <c r="B1323" s="11"/>
      <c r="C1323" s="11"/>
      <c r="D1323" s="11"/>
      <c r="E1323" s="11"/>
      <c r="F1323" s="11"/>
      <c r="G1323" s="11"/>
      <c r="H1323" s="15" t="str">
        <f aca="false">IF(OR(D1323="",F1323=""),"",IF(F1323&lt;=1,D1323,D1323*(1+F1323/30)))</f>
        <v/>
      </c>
      <c r="I1323" s="15" t="str">
        <f aca="false">IF(OR(D1323="",F1323="",G1323=""),"",IF(F1323+MAX(0,10-G1323)&lt;=1,D1323,D1323*(1+(F1323+MAX(0,10-G1323))/30)))</f>
        <v/>
      </c>
      <c r="J1323" s="16" t="str">
        <f aca="false">IF(A1323="","",IF(AND(C1323="yes",N(G1323)&gt;=7),N(E1323),0))</f>
        <v/>
      </c>
      <c r="K1323" s="17" t="str">
        <f aca="false">IF(A1323="","",A1323-WEEKDAY(A1323,3))</f>
        <v/>
      </c>
      <c r="L1323" s="11"/>
    </row>
    <row r="1324" customFormat="false" ht="15" hidden="false" customHeight="false" outlineLevel="0" collapsed="false">
      <c r="A1324" s="10"/>
      <c r="B1324" s="11"/>
      <c r="C1324" s="11"/>
      <c r="D1324" s="11"/>
      <c r="E1324" s="11"/>
      <c r="F1324" s="11"/>
      <c r="G1324" s="11"/>
      <c r="H1324" s="15" t="str">
        <f aca="false">IF(OR(D1324="",F1324=""),"",IF(F1324&lt;=1,D1324,D1324*(1+F1324/30)))</f>
        <v/>
      </c>
      <c r="I1324" s="15" t="str">
        <f aca="false">IF(OR(D1324="",F1324="",G1324=""),"",IF(F1324+MAX(0,10-G1324)&lt;=1,D1324,D1324*(1+(F1324+MAX(0,10-G1324))/30)))</f>
        <v/>
      </c>
      <c r="J1324" s="16" t="str">
        <f aca="false">IF(A1324="","",IF(AND(C1324="yes",N(G1324)&gt;=7),N(E1324),0))</f>
        <v/>
      </c>
      <c r="K1324" s="17" t="str">
        <f aca="false">IF(A1324="","",A1324-WEEKDAY(A1324,3))</f>
        <v/>
      </c>
      <c r="L1324" s="11"/>
    </row>
    <row r="1325" customFormat="false" ht="15" hidden="false" customHeight="false" outlineLevel="0" collapsed="false">
      <c r="A1325" s="10"/>
      <c r="B1325" s="11"/>
      <c r="C1325" s="11"/>
      <c r="D1325" s="11"/>
      <c r="E1325" s="11"/>
      <c r="F1325" s="11"/>
      <c r="G1325" s="11"/>
      <c r="H1325" s="15" t="str">
        <f aca="false">IF(OR(D1325="",F1325=""),"",IF(F1325&lt;=1,D1325,D1325*(1+F1325/30)))</f>
        <v/>
      </c>
      <c r="I1325" s="15" t="str">
        <f aca="false">IF(OR(D1325="",F1325="",G1325=""),"",IF(F1325+MAX(0,10-G1325)&lt;=1,D1325,D1325*(1+(F1325+MAX(0,10-G1325))/30)))</f>
        <v/>
      </c>
      <c r="J1325" s="16" t="str">
        <f aca="false">IF(A1325="","",IF(AND(C1325="yes",N(G1325)&gt;=7),N(E1325),0))</f>
        <v/>
      </c>
      <c r="K1325" s="17" t="str">
        <f aca="false">IF(A1325="","",A1325-WEEKDAY(A1325,3))</f>
        <v/>
      </c>
      <c r="L1325" s="11"/>
    </row>
    <row r="1326" customFormat="false" ht="15" hidden="false" customHeight="false" outlineLevel="0" collapsed="false">
      <c r="A1326" s="10"/>
      <c r="B1326" s="11"/>
      <c r="C1326" s="11"/>
      <c r="D1326" s="11"/>
      <c r="E1326" s="11"/>
      <c r="F1326" s="11"/>
      <c r="G1326" s="11"/>
      <c r="H1326" s="15" t="str">
        <f aca="false">IF(OR(D1326="",F1326=""),"",IF(F1326&lt;=1,D1326,D1326*(1+F1326/30)))</f>
        <v/>
      </c>
      <c r="I1326" s="15" t="str">
        <f aca="false">IF(OR(D1326="",F1326="",G1326=""),"",IF(F1326+MAX(0,10-G1326)&lt;=1,D1326,D1326*(1+(F1326+MAX(0,10-G1326))/30)))</f>
        <v/>
      </c>
      <c r="J1326" s="16" t="str">
        <f aca="false">IF(A1326="","",IF(AND(C1326="yes",N(G1326)&gt;=7),N(E1326),0))</f>
        <v/>
      </c>
      <c r="K1326" s="17" t="str">
        <f aca="false">IF(A1326="","",A1326-WEEKDAY(A1326,3))</f>
        <v/>
      </c>
      <c r="L1326" s="11"/>
    </row>
    <row r="1327" customFormat="false" ht="15" hidden="false" customHeight="false" outlineLevel="0" collapsed="false">
      <c r="A1327" s="10"/>
      <c r="B1327" s="11"/>
      <c r="C1327" s="11"/>
      <c r="D1327" s="11"/>
      <c r="E1327" s="11"/>
      <c r="F1327" s="11"/>
      <c r="G1327" s="11"/>
      <c r="H1327" s="15" t="str">
        <f aca="false">IF(OR(D1327="",F1327=""),"",IF(F1327&lt;=1,D1327,D1327*(1+F1327/30)))</f>
        <v/>
      </c>
      <c r="I1327" s="15" t="str">
        <f aca="false">IF(OR(D1327="",F1327="",G1327=""),"",IF(F1327+MAX(0,10-G1327)&lt;=1,D1327,D1327*(1+(F1327+MAX(0,10-G1327))/30)))</f>
        <v/>
      </c>
      <c r="J1327" s="16" t="str">
        <f aca="false">IF(A1327="","",IF(AND(C1327="yes",N(G1327)&gt;=7),N(E1327),0))</f>
        <v/>
      </c>
      <c r="K1327" s="17" t="str">
        <f aca="false">IF(A1327="","",A1327-WEEKDAY(A1327,3))</f>
        <v/>
      </c>
      <c r="L1327" s="11"/>
    </row>
    <row r="1328" customFormat="false" ht="15" hidden="false" customHeight="false" outlineLevel="0" collapsed="false">
      <c r="A1328" s="10"/>
      <c r="B1328" s="11"/>
      <c r="C1328" s="11"/>
      <c r="D1328" s="11"/>
      <c r="E1328" s="11"/>
      <c r="F1328" s="11"/>
      <c r="G1328" s="11"/>
      <c r="H1328" s="15" t="str">
        <f aca="false">IF(OR(D1328="",F1328=""),"",IF(F1328&lt;=1,D1328,D1328*(1+F1328/30)))</f>
        <v/>
      </c>
      <c r="I1328" s="15" t="str">
        <f aca="false">IF(OR(D1328="",F1328="",G1328=""),"",IF(F1328+MAX(0,10-G1328)&lt;=1,D1328,D1328*(1+(F1328+MAX(0,10-G1328))/30)))</f>
        <v/>
      </c>
      <c r="J1328" s="16" t="str">
        <f aca="false">IF(A1328="","",IF(AND(C1328="yes",N(G1328)&gt;=7),N(E1328),0))</f>
        <v/>
      </c>
      <c r="K1328" s="17" t="str">
        <f aca="false">IF(A1328="","",A1328-WEEKDAY(A1328,3))</f>
        <v/>
      </c>
      <c r="L1328" s="11"/>
    </row>
    <row r="1329" customFormat="false" ht="15" hidden="false" customHeight="false" outlineLevel="0" collapsed="false">
      <c r="A1329" s="10"/>
      <c r="B1329" s="11"/>
      <c r="C1329" s="11"/>
      <c r="D1329" s="11"/>
      <c r="E1329" s="11"/>
      <c r="F1329" s="11"/>
      <c r="G1329" s="11"/>
      <c r="H1329" s="15" t="str">
        <f aca="false">IF(OR(D1329="",F1329=""),"",IF(F1329&lt;=1,D1329,D1329*(1+F1329/30)))</f>
        <v/>
      </c>
      <c r="I1329" s="15" t="str">
        <f aca="false">IF(OR(D1329="",F1329="",G1329=""),"",IF(F1329+MAX(0,10-G1329)&lt;=1,D1329,D1329*(1+(F1329+MAX(0,10-G1329))/30)))</f>
        <v/>
      </c>
      <c r="J1329" s="16" t="str">
        <f aca="false">IF(A1329="","",IF(AND(C1329="yes",N(G1329)&gt;=7),N(E1329),0))</f>
        <v/>
      </c>
      <c r="K1329" s="17" t="str">
        <f aca="false">IF(A1329="","",A1329-WEEKDAY(A1329,3))</f>
        <v/>
      </c>
      <c r="L1329" s="11"/>
    </row>
    <row r="1330" customFormat="false" ht="15" hidden="false" customHeight="false" outlineLevel="0" collapsed="false">
      <c r="A1330" s="10"/>
      <c r="B1330" s="11"/>
      <c r="C1330" s="11"/>
      <c r="D1330" s="11"/>
      <c r="E1330" s="11"/>
      <c r="F1330" s="11"/>
      <c r="G1330" s="11"/>
      <c r="H1330" s="15" t="str">
        <f aca="false">IF(OR(D1330="",F1330=""),"",IF(F1330&lt;=1,D1330,D1330*(1+F1330/30)))</f>
        <v/>
      </c>
      <c r="I1330" s="15" t="str">
        <f aca="false">IF(OR(D1330="",F1330="",G1330=""),"",IF(F1330+MAX(0,10-G1330)&lt;=1,D1330,D1330*(1+(F1330+MAX(0,10-G1330))/30)))</f>
        <v/>
      </c>
      <c r="J1330" s="16" t="str">
        <f aca="false">IF(A1330="","",IF(AND(C1330="yes",N(G1330)&gt;=7),N(E1330),0))</f>
        <v/>
      </c>
      <c r="K1330" s="17" t="str">
        <f aca="false">IF(A1330="","",A1330-WEEKDAY(A1330,3))</f>
        <v/>
      </c>
      <c r="L1330" s="11"/>
    </row>
    <row r="1331" customFormat="false" ht="15" hidden="false" customHeight="false" outlineLevel="0" collapsed="false">
      <c r="A1331" s="10"/>
      <c r="B1331" s="11"/>
      <c r="C1331" s="11"/>
      <c r="D1331" s="11"/>
      <c r="E1331" s="11"/>
      <c r="F1331" s="11"/>
      <c r="G1331" s="11"/>
      <c r="H1331" s="15" t="str">
        <f aca="false">IF(OR(D1331="",F1331=""),"",IF(F1331&lt;=1,D1331,D1331*(1+F1331/30)))</f>
        <v/>
      </c>
      <c r="I1331" s="15" t="str">
        <f aca="false">IF(OR(D1331="",F1331="",G1331=""),"",IF(F1331+MAX(0,10-G1331)&lt;=1,D1331,D1331*(1+(F1331+MAX(0,10-G1331))/30)))</f>
        <v/>
      </c>
      <c r="J1331" s="16" t="str">
        <f aca="false">IF(A1331="","",IF(AND(C1331="yes",N(G1331)&gt;=7),N(E1331),0))</f>
        <v/>
      </c>
      <c r="K1331" s="17" t="str">
        <f aca="false">IF(A1331="","",A1331-WEEKDAY(A1331,3))</f>
        <v/>
      </c>
      <c r="L1331" s="11"/>
    </row>
    <row r="1332" customFormat="false" ht="15" hidden="false" customHeight="false" outlineLevel="0" collapsed="false">
      <c r="A1332" s="10"/>
      <c r="B1332" s="11"/>
      <c r="C1332" s="11"/>
      <c r="D1332" s="11"/>
      <c r="E1332" s="11"/>
      <c r="F1332" s="11"/>
      <c r="G1332" s="11"/>
      <c r="H1332" s="15" t="str">
        <f aca="false">IF(OR(D1332="",F1332=""),"",IF(F1332&lt;=1,D1332,D1332*(1+F1332/30)))</f>
        <v/>
      </c>
      <c r="I1332" s="15" t="str">
        <f aca="false">IF(OR(D1332="",F1332="",G1332=""),"",IF(F1332+MAX(0,10-G1332)&lt;=1,D1332,D1332*(1+(F1332+MAX(0,10-G1332))/30)))</f>
        <v/>
      </c>
      <c r="J1332" s="16" t="str">
        <f aca="false">IF(A1332="","",IF(AND(C1332="yes",N(G1332)&gt;=7),N(E1332),0))</f>
        <v/>
      </c>
      <c r="K1332" s="17" t="str">
        <f aca="false">IF(A1332="","",A1332-WEEKDAY(A1332,3))</f>
        <v/>
      </c>
      <c r="L1332" s="11"/>
    </row>
    <row r="1333" customFormat="false" ht="15" hidden="false" customHeight="false" outlineLevel="0" collapsed="false">
      <c r="A1333" s="10"/>
      <c r="B1333" s="11"/>
      <c r="C1333" s="11"/>
      <c r="D1333" s="11"/>
      <c r="E1333" s="11"/>
      <c r="F1333" s="11"/>
      <c r="G1333" s="11"/>
      <c r="H1333" s="15" t="str">
        <f aca="false">IF(OR(D1333="",F1333=""),"",IF(F1333&lt;=1,D1333,D1333*(1+F1333/30)))</f>
        <v/>
      </c>
      <c r="I1333" s="15" t="str">
        <f aca="false">IF(OR(D1333="",F1333="",G1333=""),"",IF(F1333+MAX(0,10-G1333)&lt;=1,D1333,D1333*(1+(F1333+MAX(0,10-G1333))/30)))</f>
        <v/>
      </c>
      <c r="J1333" s="16" t="str">
        <f aca="false">IF(A1333="","",IF(AND(C1333="yes",N(G1333)&gt;=7),N(E1333),0))</f>
        <v/>
      </c>
      <c r="K1333" s="17" t="str">
        <f aca="false">IF(A1333="","",A1333-WEEKDAY(A1333,3))</f>
        <v/>
      </c>
      <c r="L1333" s="11"/>
    </row>
    <row r="1334" customFormat="false" ht="15" hidden="false" customHeight="false" outlineLevel="0" collapsed="false">
      <c r="A1334" s="10"/>
      <c r="B1334" s="11"/>
      <c r="C1334" s="11"/>
      <c r="D1334" s="11"/>
      <c r="E1334" s="11"/>
      <c r="F1334" s="11"/>
      <c r="G1334" s="11"/>
      <c r="H1334" s="15" t="str">
        <f aca="false">IF(OR(D1334="",F1334=""),"",IF(F1334&lt;=1,D1334,D1334*(1+F1334/30)))</f>
        <v/>
      </c>
      <c r="I1334" s="15" t="str">
        <f aca="false">IF(OR(D1334="",F1334="",G1334=""),"",IF(F1334+MAX(0,10-G1334)&lt;=1,D1334,D1334*(1+(F1334+MAX(0,10-G1334))/30)))</f>
        <v/>
      </c>
      <c r="J1334" s="16" t="str">
        <f aca="false">IF(A1334="","",IF(AND(C1334="yes",N(G1334)&gt;=7),N(E1334),0))</f>
        <v/>
      </c>
      <c r="K1334" s="17" t="str">
        <f aca="false">IF(A1334="","",A1334-WEEKDAY(A1334,3))</f>
        <v/>
      </c>
      <c r="L1334" s="11"/>
    </row>
    <row r="1335" customFormat="false" ht="15" hidden="false" customHeight="false" outlineLevel="0" collapsed="false">
      <c r="A1335" s="10"/>
      <c r="B1335" s="11"/>
      <c r="C1335" s="11"/>
      <c r="D1335" s="11"/>
      <c r="E1335" s="11"/>
      <c r="F1335" s="11"/>
      <c r="G1335" s="11"/>
      <c r="H1335" s="15" t="str">
        <f aca="false">IF(OR(D1335="",F1335=""),"",IF(F1335&lt;=1,D1335,D1335*(1+F1335/30)))</f>
        <v/>
      </c>
      <c r="I1335" s="15" t="str">
        <f aca="false">IF(OR(D1335="",F1335="",G1335=""),"",IF(F1335+MAX(0,10-G1335)&lt;=1,D1335,D1335*(1+(F1335+MAX(0,10-G1335))/30)))</f>
        <v/>
      </c>
      <c r="J1335" s="16" t="str">
        <f aca="false">IF(A1335="","",IF(AND(C1335="yes",N(G1335)&gt;=7),N(E1335),0))</f>
        <v/>
      </c>
      <c r="K1335" s="17" t="str">
        <f aca="false">IF(A1335="","",A1335-WEEKDAY(A1335,3))</f>
        <v/>
      </c>
      <c r="L1335" s="11"/>
    </row>
    <row r="1336" customFormat="false" ht="15" hidden="false" customHeight="false" outlineLevel="0" collapsed="false">
      <c r="A1336" s="10"/>
      <c r="B1336" s="11"/>
      <c r="C1336" s="11"/>
      <c r="D1336" s="11"/>
      <c r="E1336" s="11"/>
      <c r="F1336" s="11"/>
      <c r="G1336" s="11"/>
      <c r="H1336" s="15" t="str">
        <f aca="false">IF(OR(D1336="",F1336=""),"",IF(F1336&lt;=1,D1336,D1336*(1+F1336/30)))</f>
        <v/>
      </c>
      <c r="I1336" s="15" t="str">
        <f aca="false">IF(OR(D1336="",F1336="",G1336=""),"",IF(F1336+MAX(0,10-G1336)&lt;=1,D1336,D1336*(1+(F1336+MAX(0,10-G1336))/30)))</f>
        <v/>
      </c>
      <c r="J1336" s="16" t="str">
        <f aca="false">IF(A1336="","",IF(AND(C1336="yes",N(G1336)&gt;=7),N(E1336),0))</f>
        <v/>
      </c>
      <c r="K1336" s="17" t="str">
        <f aca="false">IF(A1336="","",A1336-WEEKDAY(A1336,3))</f>
        <v/>
      </c>
      <c r="L1336" s="11"/>
    </row>
    <row r="1337" customFormat="false" ht="15" hidden="false" customHeight="false" outlineLevel="0" collapsed="false">
      <c r="A1337" s="10"/>
      <c r="B1337" s="11"/>
      <c r="C1337" s="11"/>
      <c r="D1337" s="11"/>
      <c r="E1337" s="11"/>
      <c r="F1337" s="11"/>
      <c r="G1337" s="11"/>
      <c r="H1337" s="15" t="str">
        <f aca="false">IF(OR(D1337="",F1337=""),"",IF(F1337&lt;=1,D1337,D1337*(1+F1337/30)))</f>
        <v/>
      </c>
      <c r="I1337" s="15" t="str">
        <f aca="false">IF(OR(D1337="",F1337="",G1337=""),"",IF(F1337+MAX(0,10-G1337)&lt;=1,D1337,D1337*(1+(F1337+MAX(0,10-G1337))/30)))</f>
        <v/>
      </c>
      <c r="J1337" s="16" t="str">
        <f aca="false">IF(A1337="","",IF(AND(C1337="yes",N(G1337)&gt;=7),N(E1337),0))</f>
        <v/>
      </c>
      <c r="K1337" s="17" t="str">
        <f aca="false">IF(A1337="","",A1337-WEEKDAY(A1337,3))</f>
        <v/>
      </c>
      <c r="L1337" s="11"/>
    </row>
    <row r="1338" customFormat="false" ht="15" hidden="false" customHeight="false" outlineLevel="0" collapsed="false">
      <c r="A1338" s="10"/>
      <c r="B1338" s="11"/>
      <c r="C1338" s="11"/>
      <c r="D1338" s="11"/>
      <c r="E1338" s="11"/>
      <c r="F1338" s="11"/>
      <c r="G1338" s="11"/>
      <c r="H1338" s="15" t="str">
        <f aca="false">IF(OR(D1338="",F1338=""),"",IF(F1338&lt;=1,D1338,D1338*(1+F1338/30)))</f>
        <v/>
      </c>
      <c r="I1338" s="15" t="str">
        <f aca="false">IF(OR(D1338="",F1338="",G1338=""),"",IF(F1338+MAX(0,10-G1338)&lt;=1,D1338,D1338*(1+(F1338+MAX(0,10-G1338))/30)))</f>
        <v/>
      </c>
      <c r="J1338" s="16" t="str">
        <f aca="false">IF(A1338="","",IF(AND(C1338="yes",N(G1338)&gt;=7),N(E1338),0))</f>
        <v/>
      </c>
      <c r="K1338" s="17" t="str">
        <f aca="false">IF(A1338="","",A1338-WEEKDAY(A1338,3))</f>
        <v/>
      </c>
      <c r="L1338" s="11"/>
    </row>
    <row r="1339" customFormat="false" ht="15" hidden="false" customHeight="false" outlineLevel="0" collapsed="false">
      <c r="A1339" s="10"/>
      <c r="B1339" s="11"/>
      <c r="C1339" s="11"/>
      <c r="D1339" s="11"/>
      <c r="E1339" s="11"/>
      <c r="F1339" s="11"/>
      <c r="G1339" s="11"/>
      <c r="H1339" s="15" t="str">
        <f aca="false">IF(OR(D1339="",F1339=""),"",IF(F1339&lt;=1,D1339,D1339*(1+F1339/30)))</f>
        <v/>
      </c>
      <c r="I1339" s="15" t="str">
        <f aca="false">IF(OR(D1339="",F1339="",G1339=""),"",IF(F1339+MAX(0,10-G1339)&lt;=1,D1339,D1339*(1+(F1339+MAX(0,10-G1339))/30)))</f>
        <v/>
      </c>
      <c r="J1339" s="16" t="str">
        <f aca="false">IF(A1339="","",IF(AND(C1339="yes",N(G1339)&gt;=7),N(E1339),0))</f>
        <v/>
      </c>
      <c r="K1339" s="17" t="str">
        <f aca="false">IF(A1339="","",A1339-WEEKDAY(A1339,3))</f>
        <v/>
      </c>
      <c r="L1339" s="11"/>
    </row>
    <row r="1340" customFormat="false" ht="15" hidden="false" customHeight="false" outlineLevel="0" collapsed="false">
      <c r="A1340" s="10"/>
      <c r="B1340" s="11"/>
      <c r="C1340" s="11"/>
      <c r="D1340" s="11"/>
      <c r="E1340" s="11"/>
      <c r="F1340" s="11"/>
      <c r="G1340" s="11"/>
      <c r="H1340" s="15" t="str">
        <f aca="false">IF(OR(D1340="",F1340=""),"",IF(F1340&lt;=1,D1340,D1340*(1+F1340/30)))</f>
        <v/>
      </c>
      <c r="I1340" s="15" t="str">
        <f aca="false">IF(OR(D1340="",F1340="",G1340=""),"",IF(F1340+MAX(0,10-G1340)&lt;=1,D1340,D1340*(1+(F1340+MAX(0,10-G1340))/30)))</f>
        <v/>
      </c>
      <c r="J1340" s="16" t="str">
        <f aca="false">IF(A1340="","",IF(AND(C1340="yes",N(G1340)&gt;=7),N(E1340),0))</f>
        <v/>
      </c>
      <c r="K1340" s="17" t="str">
        <f aca="false">IF(A1340="","",A1340-WEEKDAY(A1340,3))</f>
        <v/>
      </c>
      <c r="L1340" s="11"/>
    </row>
    <row r="1341" customFormat="false" ht="15" hidden="false" customHeight="false" outlineLevel="0" collapsed="false">
      <c r="A1341" s="10"/>
      <c r="B1341" s="11"/>
      <c r="C1341" s="11"/>
      <c r="D1341" s="11"/>
      <c r="E1341" s="11"/>
      <c r="F1341" s="11"/>
      <c r="G1341" s="11"/>
      <c r="H1341" s="15" t="str">
        <f aca="false">IF(OR(D1341="",F1341=""),"",IF(F1341&lt;=1,D1341,D1341*(1+F1341/30)))</f>
        <v/>
      </c>
      <c r="I1341" s="15" t="str">
        <f aca="false">IF(OR(D1341="",F1341="",G1341=""),"",IF(F1341+MAX(0,10-G1341)&lt;=1,D1341,D1341*(1+(F1341+MAX(0,10-G1341))/30)))</f>
        <v/>
      </c>
      <c r="J1341" s="16" t="str">
        <f aca="false">IF(A1341="","",IF(AND(C1341="yes",N(G1341)&gt;=7),N(E1341),0))</f>
        <v/>
      </c>
      <c r="K1341" s="17" t="str">
        <f aca="false">IF(A1341="","",A1341-WEEKDAY(A1341,3))</f>
        <v/>
      </c>
      <c r="L1341" s="11"/>
    </row>
    <row r="1342" customFormat="false" ht="15" hidden="false" customHeight="false" outlineLevel="0" collapsed="false">
      <c r="A1342" s="10"/>
      <c r="B1342" s="11"/>
      <c r="C1342" s="11"/>
      <c r="D1342" s="11"/>
      <c r="E1342" s="11"/>
      <c r="F1342" s="11"/>
      <c r="G1342" s="11"/>
      <c r="H1342" s="15" t="str">
        <f aca="false">IF(OR(D1342="",F1342=""),"",IF(F1342&lt;=1,D1342,D1342*(1+F1342/30)))</f>
        <v/>
      </c>
      <c r="I1342" s="15" t="str">
        <f aca="false">IF(OR(D1342="",F1342="",G1342=""),"",IF(F1342+MAX(0,10-G1342)&lt;=1,D1342,D1342*(1+(F1342+MAX(0,10-G1342))/30)))</f>
        <v/>
      </c>
      <c r="J1342" s="16" t="str">
        <f aca="false">IF(A1342="","",IF(AND(C1342="yes",N(G1342)&gt;=7),N(E1342),0))</f>
        <v/>
      </c>
      <c r="K1342" s="17" t="str">
        <f aca="false">IF(A1342="","",A1342-WEEKDAY(A1342,3))</f>
        <v/>
      </c>
      <c r="L1342" s="11"/>
    </row>
    <row r="1343" customFormat="false" ht="15" hidden="false" customHeight="false" outlineLevel="0" collapsed="false">
      <c r="A1343" s="10"/>
      <c r="B1343" s="11"/>
      <c r="C1343" s="11"/>
      <c r="D1343" s="11"/>
      <c r="E1343" s="11"/>
      <c r="F1343" s="11"/>
      <c r="G1343" s="11"/>
      <c r="H1343" s="15" t="str">
        <f aca="false">IF(OR(D1343="",F1343=""),"",IF(F1343&lt;=1,D1343,D1343*(1+F1343/30)))</f>
        <v/>
      </c>
      <c r="I1343" s="15" t="str">
        <f aca="false">IF(OR(D1343="",F1343="",G1343=""),"",IF(F1343+MAX(0,10-G1343)&lt;=1,D1343,D1343*(1+(F1343+MAX(0,10-G1343))/30)))</f>
        <v/>
      </c>
      <c r="J1343" s="16" t="str">
        <f aca="false">IF(A1343="","",IF(AND(C1343="yes",N(G1343)&gt;=7),N(E1343),0))</f>
        <v/>
      </c>
      <c r="K1343" s="17" t="str">
        <f aca="false">IF(A1343="","",A1343-WEEKDAY(A1343,3))</f>
        <v/>
      </c>
      <c r="L1343" s="11"/>
    </row>
    <row r="1344" customFormat="false" ht="15" hidden="false" customHeight="false" outlineLevel="0" collapsed="false">
      <c r="A1344" s="10"/>
      <c r="B1344" s="11"/>
      <c r="C1344" s="11"/>
      <c r="D1344" s="11"/>
      <c r="E1344" s="11"/>
      <c r="F1344" s="11"/>
      <c r="G1344" s="11"/>
      <c r="H1344" s="15" t="str">
        <f aca="false">IF(OR(D1344="",F1344=""),"",IF(F1344&lt;=1,D1344,D1344*(1+F1344/30)))</f>
        <v/>
      </c>
      <c r="I1344" s="15" t="str">
        <f aca="false">IF(OR(D1344="",F1344="",G1344=""),"",IF(F1344+MAX(0,10-G1344)&lt;=1,D1344,D1344*(1+(F1344+MAX(0,10-G1344))/30)))</f>
        <v/>
      </c>
      <c r="J1344" s="16" t="str">
        <f aca="false">IF(A1344="","",IF(AND(C1344="yes",N(G1344)&gt;=7),N(E1344),0))</f>
        <v/>
      </c>
      <c r="K1344" s="17" t="str">
        <f aca="false">IF(A1344="","",A1344-WEEKDAY(A1344,3))</f>
        <v/>
      </c>
      <c r="L1344" s="11"/>
    </row>
    <row r="1345" customFormat="false" ht="15" hidden="false" customHeight="false" outlineLevel="0" collapsed="false">
      <c r="A1345" s="10"/>
      <c r="B1345" s="11"/>
      <c r="C1345" s="11"/>
      <c r="D1345" s="11"/>
      <c r="E1345" s="11"/>
      <c r="F1345" s="11"/>
      <c r="G1345" s="11"/>
      <c r="H1345" s="15" t="str">
        <f aca="false">IF(OR(D1345="",F1345=""),"",IF(F1345&lt;=1,D1345,D1345*(1+F1345/30)))</f>
        <v/>
      </c>
      <c r="I1345" s="15" t="str">
        <f aca="false">IF(OR(D1345="",F1345="",G1345=""),"",IF(F1345+MAX(0,10-G1345)&lt;=1,D1345,D1345*(1+(F1345+MAX(0,10-G1345))/30)))</f>
        <v/>
      </c>
      <c r="J1345" s="16" t="str">
        <f aca="false">IF(A1345="","",IF(AND(C1345="yes",N(G1345)&gt;=7),N(E1345),0))</f>
        <v/>
      </c>
      <c r="K1345" s="17" t="str">
        <f aca="false">IF(A1345="","",A1345-WEEKDAY(A1345,3))</f>
        <v/>
      </c>
      <c r="L1345" s="11"/>
    </row>
    <row r="1346" customFormat="false" ht="15" hidden="false" customHeight="false" outlineLevel="0" collapsed="false">
      <c r="A1346" s="10"/>
      <c r="B1346" s="11"/>
      <c r="C1346" s="11"/>
      <c r="D1346" s="11"/>
      <c r="E1346" s="11"/>
      <c r="F1346" s="11"/>
      <c r="G1346" s="11"/>
      <c r="H1346" s="15" t="str">
        <f aca="false">IF(OR(D1346="",F1346=""),"",IF(F1346&lt;=1,D1346,D1346*(1+F1346/30)))</f>
        <v/>
      </c>
      <c r="I1346" s="15" t="str">
        <f aca="false">IF(OR(D1346="",F1346="",G1346=""),"",IF(F1346+MAX(0,10-G1346)&lt;=1,D1346,D1346*(1+(F1346+MAX(0,10-G1346))/30)))</f>
        <v/>
      </c>
      <c r="J1346" s="16" t="str">
        <f aca="false">IF(A1346="","",IF(AND(C1346="yes",N(G1346)&gt;=7),N(E1346),0))</f>
        <v/>
      </c>
      <c r="K1346" s="17" t="str">
        <f aca="false">IF(A1346="","",A1346-WEEKDAY(A1346,3))</f>
        <v/>
      </c>
      <c r="L1346" s="11"/>
    </row>
    <row r="1347" customFormat="false" ht="15" hidden="false" customHeight="false" outlineLevel="0" collapsed="false">
      <c r="A1347" s="10"/>
      <c r="B1347" s="11"/>
      <c r="C1347" s="11"/>
      <c r="D1347" s="11"/>
      <c r="E1347" s="11"/>
      <c r="F1347" s="11"/>
      <c r="G1347" s="11"/>
      <c r="H1347" s="15" t="str">
        <f aca="false">IF(OR(D1347="",F1347=""),"",IF(F1347&lt;=1,D1347,D1347*(1+F1347/30)))</f>
        <v/>
      </c>
      <c r="I1347" s="15" t="str">
        <f aca="false">IF(OR(D1347="",F1347="",G1347=""),"",IF(F1347+MAX(0,10-G1347)&lt;=1,D1347,D1347*(1+(F1347+MAX(0,10-G1347))/30)))</f>
        <v/>
      </c>
      <c r="J1347" s="16" t="str">
        <f aca="false">IF(A1347="","",IF(AND(C1347="yes",N(G1347)&gt;=7),N(E1347),0))</f>
        <v/>
      </c>
      <c r="K1347" s="17" t="str">
        <f aca="false">IF(A1347="","",A1347-WEEKDAY(A1347,3))</f>
        <v/>
      </c>
      <c r="L1347" s="11"/>
    </row>
    <row r="1348" customFormat="false" ht="15" hidden="false" customHeight="false" outlineLevel="0" collapsed="false">
      <c r="A1348" s="10"/>
      <c r="B1348" s="11"/>
      <c r="C1348" s="11"/>
      <c r="D1348" s="11"/>
      <c r="E1348" s="11"/>
      <c r="F1348" s="11"/>
      <c r="G1348" s="11"/>
      <c r="H1348" s="15" t="str">
        <f aca="false">IF(OR(D1348="",F1348=""),"",IF(F1348&lt;=1,D1348,D1348*(1+F1348/30)))</f>
        <v/>
      </c>
      <c r="I1348" s="15" t="str">
        <f aca="false">IF(OR(D1348="",F1348="",G1348=""),"",IF(F1348+MAX(0,10-G1348)&lt;=1,D1348,D1348*(1+(F1348+MAX(0,10-G1348))/30)))</f>
        <v/>
      </c>
      <c r="J1348" s="16" t="str">
        <f aca="false">IF(A1348="","",IF(AND(C1348="yes",N(G1348)&gt;=7),N(E1348),0))</f>
        <v/>
      </c>
      <c r="K1348" s="17" t="str">
        <f aca="false">IF(A1348="","",A1348-WEEKDAY(A1348,3))</f>
        <v/>
      </c>
      <c r="L1348" s="11"/>
    </row>
    <row r="1349" customFormat="false" ht="15" hidden="false" customHeight="false" outlineLevel="0" collapsed="false">
      <c r="A1349" s="10"/>
      <c r="B1349" s="11"/>
      <c r="C1349" s="11"/>
      <c r="D1349" s="11"/>
      <c r="E1349" s="11"/>
      <c r="F1349" s="11"/>
      <c r="G1349" s="11"/>
      <c r="H1349" s="15" t="str">
        <f aca="false">IF(OR(D1349="",F1349=""),"",IF(F1349&lt;=1,D1349,D1349*(1+F1349/30)))</f>
        <v/>
      </c>
      <c r="I1349" s="15" t="str">
        <f aca="false">IF(OR(D1349="",F1349="",G1349=""),"",IF(F1349+MAX(0,10-G1349)&lt;=1,D1349,D1349*(1+(F1349+MAX(0,10-G1349))/30)))</f>
        <v/>
      </c>
      <c r="J1349" s="16" t="str">
        <f aca="false">IF(A1349="","",IF(AND(C1349="yes",N(G1349)&gt;=7),N(E1349),0))</f>
        <v/>
      </c>
      <c r="K1349" s="17" t="str">
        <f aca="false">IF(A1349="","",A1349-WEEKDAY(A1349,3))</f>
        <v/>
      </c>
      <c r="L1349" s="11"/>
    </row>
    <row r="1350" customFormat="false" ht="15" hidden="false" customHeight="false" outlineLevel="0" collapsed="false">
      <c r="A1350" s="10"/>
      <c r="B1350" s="11"/>
      <c r="C1350" s="11"/>
      <c r="D1350" s="11"/>
      <c r="E1350" s="11"/>
      <c r="F1350" s="11"/>
      <c r="G1350" s="11"/>
      <c r="H1350" s="15" t="str">
        <f aca="false">IF(OR(D1350="",F1350=""),"",IF(F1350&lt;=1,D1350,D1350*(1+F1350/30)))</f>
        <v/>
      </c>
      <c r="I1350" s="15" t="str">
        <f aca="false">IF(OR(D1350="",F1350="",G1350=""),"",IF(F1350+MAX(0,10-G1350)&lt;=1,D1350,D1350*(1+(F1350+MAX(0,10-G1350))/30)))</f>
        <v/>
      </c>
      <c r="J1350" s="16" t="str">
        <f aca="false">IF(A1350="","",IF(AND(C1350="yes",N(G1350)&gt;=7),N(E1350),0))</f>
        <v/>
      </c>
      <c r="K1350" s="17" t="str">
        <f aca="false">IF(A1350="","",A1350-WEEKDAY(A1350,3))</f>
        <v/>
      </c>
      <c r="L1350" s="11"/>
    </row>
    <row r="1351" customFormat="false" ht="15" hidden="false" customHeight="false" outlineLevel="0" collapsed="false">
      <c r="A1351" s="10"/>
      <c r="B1351" s="11"/>
      <c r="C1351" s="11"/>
      <c r="D1351" s="11"/>
      <c r="E1351" s="11"/>
      <c r="F1351" s="11"/>
      <c r="G1351" s="11"/>
      <c r="H1351" s="15" t="str">
        <f aca="false">IF(OR(D1351="",F1351=""),"",IF(F1351&lt;=1,D1351,D1351*(1+F1351/30)))</f>
        <v/>
      </c>
      <c r="I1351" s="15" t="str">
        <f aca="false">IF(OR(D1351="",F1351="",G1351=""),"",IF(F1351+MAX(0,10-G1351)&lt;=1,D1351,D1351*(1+(F1351+MAX(0,10-G1351))/30)))</f>
        <v/>
      </c>
      <c r="J1351" s="16" t="str">
        <f aca="false">IF(A1351="","",IF(AND(C1351="yes",N(G1351)&gt;=7),N(E1351),0))</f>
        <v/>
      </c>
      <c r="K1351" s="17" t="str">
        <f aca="false">IF(A1351="","",A1351-WEEKDAY(A1351,3))</f>
        <v/>
      </c>
      <c r="L1351" s="11"/>
    </row>
    <row r="1352" customFormat="false" ht="15" hidden="false" customHeight="false" outlineLevel="0" collapsed="false">
      <c r="A1352" s="10"/>
      <c r="B1352" s="11"/>
      <c r="C1352" s="11"/>
      <c r="D1352" s="11"/>
      <c r="E1352" s="11"/>
      <c r="F1352" s="11"/>
      <c r="G1352" s="11"/>
      <c r="H1352" s="15" t="str">
        <f aca="false">IF(OR(D1352="",F1352=""),"",IF(F1352&lt;=1,D1352,D1352*(1+F1352/30)))</f>
        <v/>
      </c>
      <c r="I1352" s="15" t="str">
        <f aca="false">IF(OR(D1352="",F1352="",G1352=""),"",IF(F1352+MAX(0,10-G1352)&lt;=1,D1352,D1352*(1+(F1352+MAX(0,10-G1352))/30)))</f>
        <v/>
      </c>
      <c r="J1352" s="16" t="str">
        <f aca="false">IF(A1352="","",IF(AND(C1352="yes",N(G1352)&gt;=7),N(E1352),0))</f>
        <v/>
      </c>
      <c r="K1352" s="17" t="str">
        <f aca="false">IF(A1352="","",A1352-WEEKDAY(A1352,3))</f>
        <v/>
      </c>
      <c r="L1352" s="11"/>
    </row>
    <row r="1353" customFormat="false" ht="15" hidden="false" customHeight="false" outlineLevel="0" collapsed="false">
      <c r="A1353" s="10"/>
      <c r="B1353" s="11"/>
      <c r="C1353" s="11"/>
      <c r="D1353" s="11"/>
      <c r="E1353" s="11"/>
      <c r="F1353" s="11"/>
      <c r="G1353" s="11"/>
      <c r="H1353" s="15" t="str">
        <f aca="false">IF(OR(D1353="",F1353=""),"",IF(F1353&lt;=1,D1353,D1353*(1+F1353/30)))</f>
        <v/>
      </c>
      <c r="I1353" s="15" t="str">
        <f aca="false">IF(OR(D1353="",F1353="",G1353=""),"",IF(F1353+MAX(0,10-G1353)&lt;=1,D1353,D1353*(1+(F1353+MAX(0,10-G1353))/30)))</f>
        <v/>
      </c>
      <c r="J1353" s="16" t="str">
        <f aca="false">IF(A1353="","",IF(AND(C1353="yes",N(G1353)&gt;=7),N(E1353),0))</f>
        <v/>
      </c>
      <c r="K1353" s="17" t="str">
        <f aca="false">IF(A1353="","",A1353-WEEKDAY(A1353,3))</f>
        <v/>
      </c>
      <c r="L1353" s="11"/>
    </row>
    <row r="1354" customFormat="false" ht="15" hidden="false" customHeight="false" outlineLevel="0" collapsed="false">
      <c r="A1354" s="10"/>
      <c r="B1354" s="11"/>
      <c r="C1354" s="11"/>
      <c r="D1354" s="11"/>
      <c r="E1354" s="11"/>
      <c r="F1354" s="11"/>
      <c r="G1354" s="11"/>
      <c r="H1354" s="15" t="str">
        <f aca="false">IF(OR(D1354="",F1354=""),"",IF(F1354&lt;=1,D1354,D1354*(1+F1354/30)))</f>
        <v/>
      </c>
      <c r="I1354" s="15" t="str">
        <f aca="false">IF(OR(D1354="",F1354="",G1354=""),"",IF(F1354+MAX(0,10-G1354)&lt;=1,D1354,D1354*(1+(F1354+MAX(0,10-G1354))/30)))</f>
        <v/>
      </c>
      <c r="J1354" s="16" t="str">
        <f aca="false">IF(A1354="","",IF(AND(C1354="yes",N(G1354)&gt;=7),N(E1354),0))</f>
        <v/>
      </c>
      <c r="K1354" s="17" t="str">
        <f aca="false">IF(A1354="","",A1354-WEEKDAY(A1354,3))</f>
        <v/>
      </c>
      <c r="L1354" s="11"/>
    </row>
    <row r="1355" customFormat="false" ht="15" hidden="false" customHeight="false" outlineLevel="0" collapsed="false">
      <c r="A1355" s="10"/>
      <c r="B1355" s="11"/>
      <c r="C1355" s="11"/>
      <c r="D1355" s="11"/>
      <c r="E1355" s="11"/>
      <c r="F1355" s="11"/>
      <c r="G1355" s="11"/>
      <c r="H1355" s="15" t="str">
        <f aca="false">IF(OR(D1355="",F1355=""),"",IF(F1355&lt;=1,D1355,D1355*(1+F1355/30)))</f>
        <v/>
      </c>
      <c r="I1355" s="15" t="str">
        <f aca="false">IF(OR(D1355="",F1355="",G1355=""),"",IF(F1355+MAX(0,10-G1355)&lt;=1,D1355,D1355*(1+(F1355+MAX(0,10-G1355))/30)))</f>
        <v/>
      </c>
      <c r="J1355" s="16" t="str">
        <f aca="false">IF(A1355="","",IF(AND(C1355="yes",N(G1355)&gt;=7),N(E1355),0))</f>
        <v/>
      </c>
      <c r="K1355" s="17" t="str">
        <f aca="false">IF(A1355="","",A1355-WEEKDAY(A1355,3))</f>
        <v/>
      </c>
      <c r="L1355" s="11"/>
    </row>
    <row r="1356" customFormat="false" ht="15" hidden="false" customHeight="false" outlineLevel="0" collapsed="false">
      <c r="A1356" s="10"/>
      <c r="B1356" s="11"/>
      <c r="C1356" s="11"/>
      <c r="D1356" s="11"/>
      <c r="E1356" s="11"/>
      <c r="F1356" s="11"/>
      <c r="G1356" s="11"/>
      <c r="H1356" s="15" t="str">
        <f aca="false">IF(OR(D1356="",F1356=""),"",IF(F1356&lt;=1,D1356,D1356*(1+F1356/30)))</f>
        <v/>
      </c>
      <c r="I1356" s="15" t="str">
        <f aca="false">IF(OR(D1356="",F1356="",G1356=""),"",IF(F1356+MAX(0,10-G1356)&lt;=1,D1356,D1356*(1+(F1356+MAX(0,10-G1356))/30)))</f>
        <v/>
      </c>
      <c r="J1356" s="16" t="str">
        <f aca="false">IF(A1356="","",IF(AND(C1356="yes",N(G1356)&gt;=7),N(E1356),0))</f>
        <v/>
      </c>
      <c r="K1356" s="17" t="str">
        <f aca="false">IF(A1356="","",A1356-WEEKDAY(A1356,3))</f>
        <v/>
      </c>
      <c r="L1356" s="11"/>
    </row>
    <row r="1357" customFormat="false" ht="15" hidden="false" customHeight="false" outlineLevel="0" collapsed="false">
      <c r="A1357" s="10"/>
      <c r="B1357" s="11"/>
      <c r="C1357" s="11"/>
      <c r="D1357" s="11"/>
      <c r="E1357" s="11"/>
      <c r="F1357" s="11"/>
      <c r="G1357" s="11"/>
      <c r="H1357" s="15" t="str">
        <f aca="false">IF(OR(D1357="",F1357=""),"",IF(F1357&lt;=1,D1357,D1357*(1+F1357/30)))</f>
        <v/>
      </c>
      <c r="I1357" s="15" t="str">
        <f aca="false">IF(OR(D1357="",F1357="",G1357=""),"",IF(F1357+MAX(0,10-G1357)&lt;=1,D1357,D1357*(1+(F1357+MAX(0,10-G1357))/30)))</f>
        <v/>
      </c>
      <c r="J1357" s="16" t="str">
        <f aca="false">IF(A1357="","",IF(AND(C1357="yes",N(G1357)&gt;=7),N(E1357),0))</f>
        <v/>
      </c>
      <c r="K1357" s="17" t="str">
        <f aca="false">IF(A1357="","",A1357-WEEKDAY(A1357,3))</f>
        <v/>
      </c>
      <c r="L1357" s="11"/>
    </row>
    <row r="1358" customFormat="false" ht="15" hidden="false" customHeight="false" outlineLevel="0" collapsed="false">
      <c r="A1358" s="10"/>
      <c r="B1358" s="11"/>
      <c r="C1358" s="11"/>
      <c r="D1358" s="11"/>
      <c r="E1358" s="11"/>
      <c r="F1358" s="11"/>
      <c r="G1358" s="11"/>
      <c r="H1358" s="15" t="str">
        <f aca="false">IF(OR(D1358="",F1358=""),"",IF(F1358&lt;=1,D1358,D1358*(1+F1358/30)))</f>
        <v/>
      </c>
      <c r="I1358" s="15" t="str">
        <f aca="false">IF(OR(D1358="",F1358="",G1358=""),"",IF(F1358+MAX(0,10-G1358)&lt;=1,D1358,D1358*(1+(F1358+MAX(0,10-G1358))/30)))</f>
        <v/>
      </c>
      <c r="J1358" s="16" t="str">
        <f aca="false">IF(A1358="","",IF(AND(C1358="yes",N(G1358)&gt;=7),N(E1358),0))</f>
        <v/>
      </c>
      <c r="K1358" s="17" t="str">
        <f aca="false">IF(A1358="","",A1358-WEEKDAY(A1358,3))</f>
        <v/>
      </c>
      <c r="L1358" s="11"/>
    </row>
    <row r="1359" customFormat="false" ht="15" hidden="false" customHeight="false" outlineLevel="0" collapsed="false">
      <c r="A1359" s="10"/>
      <c r="B1359" s="11"/>
      <c r="C1359" s="11"/>
      <c r="D1359" s="11"/>
      <c r="E1359" s="11"/>
      <c r="F1359" s="11"/>
      <c r="G1359" s="11"/>
      <c r="H1359" s="15" t="str">
        <f aca="false">IF(OR(D1359="",F1359=""),"",IF(F1359&lt;=1,D1359,D1359*(1+F1359/30)))</f>
        <v/>
      </c>
      <c r="I1359" s="15" t="str">
        <f aca="false">IF(OR(D1359="",F1359="",G1359=""),"",IF(F1359+MAX(0,10-G1359)&lt;=1,D1359,D1359*(1+(F1359+MAX(0,10-G1359))/30)))</f>
        <v/>
      </c>
      <c r="J1359" s="16" t="str">
        <f aca="false">IF(A1359="","",IF(AND(C1359="yes",N(G1359)&gt;=7),N(E1359),0))</f>
        <v/>
      </c>
      <c r="K1359" s="17" t="str">
        <f aca="false">IF(A1359="","",A1359-WEEKDAY(A1359,3))</f>
        <v/>
      </c>
      <c r="L1359" s="11"/>
    </row>
    <row r="1360" customFormat="false" ht="15" hidden="false" customHeight="false" outlineLevel="0" collapsed="false">
      <c r="A1360" s="10"/>
      <c r="B1360" s="11"/>
      <c r="C1360" s="11"/>
      <c r="D1360" s="11"/>
      <c r="E1360" s="11"/>
      <c r="F1360" s="11"/>
      <c r="G1360" s="11"/>
      <c r="H1360" s="15" t="str">
        <f aca="false">IF(OR(D1360="",F1360=""),"",IF(F1360&lt;=1,D1360,D1360*(1+F1360/30)))</f>
        <v/>
      </c>
      <c r="I1360" s="15" t="str">
        <f aca="false">IF(OR(D1360="",F1360="",G1360=""),"",IF(F1360+MAX(0,10-G1360)&lt;=1,D1360,D1360*(1+(F1360+MAX(0,10-G1360))/30)))</f>
        <v/>
      </c>
      <c r="J1360" s="16" t="str">
        <f aca="false">IF(A1360="","",IF(AND(C1360="yes",N(G1360)&gt;=7),N(E1360),0))</f>
        <v/>
      </c>
      <c r="K1360" s="17" t="str">
        <f aca="false">IF(A1360="","",A1360-WEEKDAY(A1360,3))</f>
        <v/>
      </c>
      <c r="L1360" s="11"/>
    </row>
    <row r="1361" customFormat="false" ht="15" hidden="false" customHeight="false" outlineLevel="0" collapsed="false">
      <c r="A1361" s="10"/>
      <c r="B1361" s="11"/>
      <c r="C1361" s="11"/>
      <c r="D1361" s="11"/>
      <c r="E1361" s="11"/>
      <c r="F1361" s="11"/>
      <c r="G1361" s="11"/>
      <c r="H1361" s="15" t="str">
        <f aca="false">IF(OR(D1361="",F1361=""),"",IF(F1361&lt;=1,D1361,D1361*(1+F1361/30)))</f>
        <v/>
      </c>
      <c r="I1361" s="15" t="str">
        <f aca="false">IF(OR(D1361="",F1361="",G1361=""),"",IF(F1361+MAX(0,10-G1361)&lt;=1,D1361,D1361*(1+(F1361+MAX(0,10-G1361))/30)))</f>
        <v/>
      </c>
      <c r="J1361" s="16" t="str">
        <f aca="false">IF(A1361="","",IF(AND(C1361="yes",N(G1361)&gt;=7),N(E1361),0))</f>
        <v/>
      </c>
      <c r="K1361" s="17" t="str">
        <f aca="false">IF(A1361="","",A1361-WEEKDAY(A1361,3))</f>
        <v/>
      </c>
      <c r="L1361" s="11"/>
    </row>
    <row r="1362" customFormat="false" ht="15" hidden="false" customHeight="false" outlineLevel="0" collapsed="false">
      <c r="A1362" s="10"/>
      <c r="B1362" s="11"/>
      <c r="C1362" s="11"/>
      <c r="D1362" s="11"/>
      <c r="E1362" s="11"/>
      <c r="F1362" s="11"/>
      <c r="G1362" s="11"/>
      <c r="H1362" s="15" t="str">
        <f aca="false">IF(OR(D1362="",F1362=""),"",IF(F1362&lt;=1,D1362,D1362*(1+F1362/30)))</f>
        <v/>
      </c>
      <c r="I1362" s="15" t="str">
        <f aca="false">IF(OR(D1362="",F1362="",G1362=""),"",IF(F1362+MAX(0,10-G1362)&lt;=1,D1362,D1362*(1+(F1362+MAX(0,10-G1362))/30)))</f>
        <v/>
      </c>
      <c r="J1362" s="16" t="str">
        <f aca="false">IF(A1362="","",IF(AND(C1362="yes",N(G1362)&gt;=7),N(E1362),0))</f>
        <v/>
      </c>
      <c r="K1362" s="17" t="str">
        <f aca="false">IF(A1362="","",A1362-WEEKDAY(A1362,3))</f>
        <v/>
      </c>
      <c r="L1362" s="11"/>
    </row>
    <row r="1363" customFormat="false" ht="15" hidden="false" customHeight="false" outlineLevel="0" collapsed="false">
      <c r="A1363" s="10"/>
      <c r="B1363" s="11"/>
      <c r="C1363" s="11"/>
      <c r="D1363" s="11"/>
      <c r="E1363" s="11"/>
      <c r="F1363" s="11"/>
      <c r="G1363" s="11"/>
      <c r="H1363" s="15" t="str">
        <f aca="false">IF(OR(D1363="",F1363=""),"",IF(F1363&lt;=1,D1363,D1363*(1+F1363/30)))</f>
        <v/>
      </c>
      <c r="I1363" s="15" t="str">
        <f aca="false">IF(OR(D1363="",F1363="",G1363=""),"",IF(F1363+MAX(0,10-G1363)&lt;=1,D1363,D1363*(1+(F1363+MAX(0,10-G1363))/30)))</f>
        <v/>
      </c>
      <c r="J1363" s="16" t="str">
        <f aca="false">IF(A1363="","",IF(AND(C1363="yes",N(G1363)&gt;=7),N(E1363),0))</f>
        <v/>
      </c>
      <c r="K1363" s="17" t="str">
        <f aca="false">IF(A1363="","",A1363-WEEKDAY(A1363,3))</f>
        <v/>
      </c>
      <c r="L1363" s="11"/>
    </row>
    <row r="1364" customFormat="false" ht="15" hidden="false" customHeight="false" outlineLevel="0" collapsed="false">
      <c r="A1364" s="10"/>
      <c r="B1364" s="11"/>
      <c r="C1364" s="11"/>
      <c r="D1364" s="11"/>
      <c r="E1364" s="11"/>
      <c r="F1364" s="11"/>
      <c r="G1364" s="11"/>
      <c r="H1364" s="15" t="str">
        <f aca="false">IF(OR(D1364="",F1364=""),"",IF(F1364&lt;=1,D1364,D1364*(1+F1364/30)))</f>
        <v/>
      </c>
      <c r="I1364" s="15" t="str">
        <f aca="false">IF(OR(D1364="",F1364="",G1364=""),"",IF(F1364+MAX(0,10-G1364)&lt;=1,D1364,D1364*(1+(F1364+MAX(0,10-G1364))/30)))</f>
        <v/>
      </c>
      <c r="J1364" s="16" t="str">
        <f aca="false">IF(A1364="","",IF(AND(C1364="yes",N(G1364)&gt;=7),N(E1364),0))</f>
        <v/>
      </c>
      <c r="K1364" s="17" t="str">
        <f aca="false">IF(A1364="","",A1364-WEEKDAY(A1364,3))</f>
        <v/>
      </c>
      <c r="L1364" s="11"/>
    </row>
    <row r="1365" customFormat="false" ht="15" hidden="false" customHeight="false" outlineLevel="0" collapsed="false">
      <c r="A1365" s="10"/>
      <c r="B1365" s="11"/>
      <c r="C1365" s="11"/>
      <c r="D1365" s="11"/>
      <c r="E1365" s="11"/>
      <c r="F1365" s="11"/>
      <c r="G1365" s="11"/>
      <c r="H1365" s="15" t="str">
        <f aca="false">IF(OR(D1365="",F1365=""),"",IF(F1365&lt;=1,D1365,D1365*(1+F1365/30)))</f>
        <v/>
      </c>
      <c r="I1365" s="15" t="str">
        <f aca="false">IF(OR(D1365="",F1365="",G1365=""),"",IF(F1365+MAX(0,10-G1365)&lt;=1,D1365,D1365*(1+(F1365+MAX(0,10-G1365))/30)))</f>
        <v/>
      </c>
      <c r="J1365" s="16" t="str">
        <f aca="false">IF(A1365="","",IF(AND(C1365="yes",N(G1365)&gt;=7),N(E1365),0))</f>
        <v/>
      </c>
      <c r="K1365" s="17" t="str">
        <f aca="false">IF(A1365="","",A1365-WEEKDAY(A1365,3))</f>
        <v/>
      </c>
      <c r="L1365" s="11"/>
    </row>
    <row r="1366" customFormat="false" ht="15" hidden="false" customHeight="false" outlineLevel="0" collapsed="false">
      <c r="A1366" s="10"/>
      <c r="B1366" s="11"/>
      <c r="C1366" s="11"/>
      <c r="D1366" s="11"/>
      <c r="E1366" s="11"/>
      <c r="F1366" s="11"/>
      <c r="G1366" s="11"/>
      <c r="H1366" s="15" t="str">
        <f aca="false">IF(OR(D1366="",F1366=""),"",IF(F1366&lt;=1,D1366,D1366*(1+F1366/30)))</f>
        <v/>
      </c>
      <c r="I1366" s="15" t="str">
        <f aca="false">IF(OR(D1366="",F1366="",G1366=""),"",IF(F1366+MAX(0,10-G1366)&lt;=1,D1366,D1366*(1+(F1366+MAX(0,10-G1366))/30)))</f>
        <v/>
      </c>
      <c r="J1366" s="16" t="str">
        <f aca="false">IF(A1366="","",IF(AND(C1366="yes",N(G1366)&gt;=7),N(E1366),0))</f>
        <v/>
      </c>
      <c r="K1366" s="17" t="str">
        <f aca="false">IF(A1366="","",A1366-WEEKDAY(A1366,3))</f>
        <v/>
      </c>
      <c r="L1366" s="11"/>
    </row>
    <row r="1367" customFormat="false" ht="15" hidden="false" customHeight="false" outlineLevel="0" collapsed="false">
      <c r="A1367" s="10"/>
      <c r="B1367" s="11"/>
      <c r="C1367" s="11"/>
      <c r="D1367" s="11"/>
      <c r="E1367" s="11"/>
      <c r="F1367" s="11"/>
      <c r="G1367" s="11"/>
      <c r="H1367" s="15" t="str">
        <f aca="false">IF(OR(D1367="",F1367=""),"",IF(F1367&lt;=1,D1367,D1367*(1+F1367/30)))</f>
        <v/>
      </c>
      <c r="I1367" s="15" t="str">
        <f aca="false">IF(OR(D1367="",F1367="",G1367=""),"",IF(F1367+MAX(0,10-G1367)&lt;=1,D1367,D1367*(1+(F1367+MAX(0,10-G1367))/30)))</f>
        <v/>
      </c>
      <c r="J1367" s="16" t="str">
        <f aca="false">IF(A1367="","",IF(AND(C1367="yes",N(G1367)&gt;=7),N(E1367),0))</f>
        <v/>
      </c>
      <c r="K1367" s="17" t="str">
        <f aca="false">IF(A1367="","",A1367-WEEKDAY(A1367,3))</f>
        <v/>
      </c>
      <c r="L1367" s="11"/>
    </row>
    <row r="1368" customFormat="false" ht="15" hidden="false" customHeight="false" outlineLevel="0" collapsed="false">
      <c r="A1368" s="10"/>
      <c r="B1368" s="11"/>
      <c r="C1368" s="11"/>
      <c r="D1368" s="11"/>
      <c r="E1368" s="11"/>
      <c r="F1368" s="11"/>
      <c r="G1368" s="11"/>
      <c r="H1368" s="15" t="str">
        <f aca="false">IF(OR(D1368="",F1368=""),"",IF(F1368&lt;=1,D1368,D1368*(1+F1368/30)))</f>
        <v/>
      </c>
      <c r="I1368" s="15" t="str">
        <f aca="false">IF(OR(D1368="",F1368="",G1368=""),"",IF(F1368+MAX(0,10-G1368)&lt;=1,D1368,D1368*(1+(F1368+MAX(0,10-G1368))/30)))</f>
        <v/>
      </c>
      <c r="J1368" s="16" t="str">
        <f aca="false">IF(A1368="","",IF(AND(C1368="yes",N(G1368)&gt;=7),N(E1368),0))</f>
        <v/>
      </c>
      <c r="K1368" s="17" t="str">
        <f aca="false">IF(A1368="","",A1368-WEEKDAY(A1368,3))</f>
        <v/>
      </c>
      <c r="L1368" s="11"/>
    </row>
    <row r="1369" customFormat="false" ht="15" hidden="false" customHeight="false" outlineLevel="0" collapsed="false">
      <c r="A1369" s="10"/>
      <c r="B1369" s="11"/>
      <c r="C1369" s="11"/>
      <c r="D1369" s="11"/>
      <c r="E1369" s="11"/>
      <c r="F1369" s="11"/>
      <c r="G1369" s="11"/>
      <c r="H1369" s="15" t="str">
        <f aca="false">IF(OR(D1369="",F1369=""),"",IF(F1369&lt;=1,D1369,D1369*(1+F1369/30)))</f>
        <v/>
      </c>
      <c r="I1369" s="15" t="str">
        <f aca="false">IF(OR(D1369="",F1369="",G1369=""),"",IF(F1369+MAX(0,10-G1369)&lt;=1,D1369,D1369*(1+(F1369+MAX(0,10-G1369))/30)))</f>
        <v/>
      </c>
      <c r="J1369" s="16" t="str">
        <f aca="false">IF(A1369="","",IF(AND(C1369="yes",N(G1369)&gt;=7),N(E1369),0))</f>
        <v/>
      </c>
      <c r="K1369" s="17" t="str">
        <f aca="false">IF(A1369="","",A1369-WEEKDAY(A1369,3))</f>
        <v/>
      </c>
      <c r="L1369" s="11"/>
    </row>
    <row r="1370" customFormat="false" ht="15" hidden="false" customHeight="false" outlineLevel="0" collapsed="false">
      <c r="A1370" s="10"/>
      <c r="B1370" s="11"/>
      <c r="C1370" s="11"/>
      <c r="D1370" s="11"/>
      <c r="E1370" s="11"/>
      <c r="F1370" s="11"/>
      <c r="G1370" s="11"/>
      <c r="H1370" s="15" t="str">
        <f aca="false">IF(OR(D1370="",F1370=""),"",IF(F1370&lt;=1,D1370,D1370*(1+F1370/30)))</f>
        <v/>
      </c>
      <c r="I1370" s="15" t="str">
        <f aca="false">IF(OR(D1370="",F1370="",G1370=""),"",IF(F1370+MAX(0,10-G1370)&lt;=1,D1370,D1370*(1+(F1370+MAX(0,10-G1370))/30)))</f>
        <v/>
      </c>
      <c r="J1370" s="16" t="str">
        <f aca="false">IF(A1370="","",IF(AND(C1370="yes",N(G1370)&gt;=7),N(E1370),0))</f>
        <v/>
      </c>
      <c r="K1370" s="17" t="str">
        <f aca="false">IF(A1370="","",A1370-WEEKDAY(A1370,3))</f>
        <v/>
      </c>
      <c r="L1370" s="11"/>
    </row>
    <row r="1371" customFormat="false" ht="15" hidden="false" customHeight="false" outlineLevel="0" collapsed="false">
      <c r="A1371" s="10"/>
      <c r="B1371" s="11"/>
      <c r="C1371" s="11"/>
      <c r="D1371" s="11"/>
      <c r="E1371" s="11"/>
      <c r="F1371" s="11"/>
      <c r="G1371" s="11"/>
      <c r="H1371" s="15" t="str">
        <f aca="false">IF(OR(D1371="",F1371=""),"",IF(F1371&lt;=1,D1371,D1371*(1+F1371/30)))</f>
        <v/>
      </c>
      <c r="I1371" s="15" t="str">
        <f aca="false">IF(OR(D1371="",F1371="",G1371=""),"",IF(F1371+MAX(0,10-G1371)&lt;=1,D1371,D1371*(1+(F1371+MAX(0,10-G1371))/30)))</f>
        <v/>
      </c>
      <c r="J1371" s="16" t="str">
        <f aca="false">IF(A1371="","",IF(AND(C1371="yes",N(G1371)&gt;=7),N(E1371),0))</f>
        <v/>
      </c>
      <c r="K1371" s="17" t="str">
        <f aca="false">IF(A1371="","",A1371-WEEKDAY(A1371,3))</f>
        <v/>
      </c>
      <c r="L1371" s="11"/>
    </row>
    <row r="1372" customFormat="false" ht="15" hidden="false" customHeight="false" outlineLevel="0" collapsed="false">
      <c r="A1372" s="10"/>
      <c r="B1372" s="11"/>
      <c r="C1372" s="11"/>
      <c r="D1372" s="11"/>
      <c r="E1372" s="11"/>
      <c r="F1372" s="11"/>
      <c r="G1372" s="11"/>
      <c r="H1372" s="15" t="str">
        <f aca="false">IF(OR(D1372="",F1372=""),"",IF(F1372&lt;=1,D1372,D1372*(1+F1372/30)))</f>
        <v/>
      </c>
      <c r="I1372" s="15" t="str">
        <f aca="false">IF(OR(D1372="",F1372="",G1372=""),"",IF(F1372+MAX(0,10-G1372)&lt;=1,D1372,D1372*(1+(F1372+MAX(0,10-G1372))/30)))</f>
        <v/>
      </c>
      <c r="J1372" s="16" t="str">
        <f aca="false">IF(A1372="","",IF(AND(C1372="yes",N(G1372)&gt;=7),N(E1372),0))</f>
        <v/>
      </c>
      <c r="K1372" s="17" t="str">
        <f aca="false">IF(A1372="","",A1372-WEEKDAY(A1372,3))</f>
        <v/>
      </c>
      <c r="L1372" s="11"/>
    </row>
    <row r="1373" customFormat="false" ht="15" hidden="false" customHeight="false" outlineLevel="0" collapsed="false">
      <c r="A1373" s="10"/>
      <c r="B1373" s="11"/>
      <c r="C1373" s="11"/>
      <c r="D1373" s="11"/>
      <c r="E1373" s="11"/>
      <c r="F1373" s="11"/>
      <c r="G1373" s="11"/>
      <c r="H1373" s="15" t="str">
        <f aca="false">IF(OR(D1373="",F1373=""),"",IF(F1373&lt;=1,D1373,D1373*(1+F1373/30)))</f>
        <v/>
      </c>
      <c r="I1373" s="15" t="str">
        <f aca="false">IF(OR(D1373="",F1373="",G1373=""),"",IF(F1373+MAX(0,10-G1373)&lt;=1,D1373,D1373*(1+(F1373+MAX(0,10-G1373))/30)))</f>
        <v/>
      </c>
      <c r="J1373" s="16" t="str">
        <f aca="false">IF(A1373="","",IF(AND(C1373="yes",N(G1373)&gt;=7),N(E1373),0))</f>
        <v/>
      </c>
      <c r="K1373" s="17" t="str">
        <f aca="false">IF(A1373="","",A1373-WEEKDAY(A1373,3))</f>
        <v/>
      </c>
      <c r="L1373" s="11"/>
    </row>
    <row r="1374" customFormat="false" ht="15" hidden="false" customHeight="false" outlineLevel="0" collapsed="false">
      <c r="A1374" s="10"/>
      <c r="B1374" s="11"/>
      <c r="C1374" s="11"/>
      <c r="D1374" s="11"/>
      <c r="E1374" s="11"/>
      <c r="F1374" s="11"/>
      <c r="G1374" s="11"/>
      <c r="H1374" s="15" t="str">
        <f aca="false">IF(OR(D1374="",F1374=""),"",IF(F1374&lt;=1,D1374,D1374*(1+F1374/30)))</f>
        <v/>
      </c>
      <c r="I1374" s="15" t="str">
        <f aca="false">IF(OR(D1374="",F1374="",G1374=""),"",IF(F1374+MAX(0,10-G1374)&lt;=1,D1374,D1374*(1+(F1374+MAX(0,10-G1374))/30)))</f>
        <v/>
      </c>
      <c r="J1374" s="16" t="str">
        <f aca="false">IF(A1374="","",IF(AND(C1374="yes",N(G1374)&gt;=7),N(E1374),0))</f>
        <v/>
      </c>
      <c r="K1374" s="17" t="str">
        <f aca="false">IF(A1374="","",A1374-WEEKDAY(A1374,3))</f>
        <v/>
      </c>
      <c r="L1374" s="11"/>
    </row>
    <row r="1375" customFormat="false" ht="15" hidden="false" customHeight="false" outlineLevel="0" collapsed="false">
      <c r="A1375" s="10"/>
      <c r="B1375" s="11"/>
      <c r="C1375" s="11"/>
      <c r="D1375" s="11"/>
      <c r="E1375" s="11"/>
      <c r="F1375" s="11"/>
      <c r="G1375" s="11"/>
      <c r="H1375" s="15" t="str">
        <f aca="false">IF(OR(D1375="",F1375=""),"",IF(F1375&lt;=1,D1375,D1375*(1+F1375/30)))</f>
        <v/>
      </c>
      <c r="I1375" s="15" t="str">
        <f aca="false">IF(OR(D1375="",F1375="",G1375=""),"",IF(F1375+MAX(0,10-G1375)&lt;=1,D1375,D1375*(1+(F1375+MAX(0,10-G1375))/30)))</f>
        <v/>
      </c>
      <c r="J1375" s="16" t="str">
        <f aca="false">IF(A1375="","",IF(AND(C1375="yes",N(G1375)&gt;=7),N(E1375),0))</f>
        <v/>
      </c>
      <c r="K1375" s="17" t="str">
        <f aca="false">IF(A1375="","",A1375-WEEKDAY(A1375,3))</f>
        <v/>
      </c>
      <c r="L1375" s="11"/>
    </row>
    <row r="1376" customFormat="false" ht="15" hidden="false" customHeight="false" outlineLevel="0" collapsed="false">
      <c r="A1376" s="10"/>
      <c r="B1376" s="11"/>
      <c r="C1376" s="11"/>
      <c r="D1376" s="11"/>
      <c r="E1376" s="11"/>
      <c r="F1376" s="11"/>
      <c r="G1376" s="11"/>
      <c r="H1376" s="15" t="str">
        <f aca="false">IF(OR(D1376="",F1376=""),"",IF(F1376&lt;=1,D1376,D1376*(1+F1376/30)))</f>
        <v/>
      </c>
      <c r="I1376" s="15" t="str">
        <f aca="false">IF(OR(D1376="",F1376="",G1376=""),"",IF(F1376+MAX(0,10-G1376)&lt;=1,D1376,D1376*(1+(F1376+MAX(0,10-G1376))/30)))</f>
        <v/>
      </c>
      <c r="J1376" s="16" t="str">
        <f aca="false">IF(A1376="","",IF(AND(C1376="yes",N(G1376)&gt;=7),N(E1376),0))</f>
        <v/>
      </c>
      <c r="K1376" s="17" t="str">
        <f aca="false">IF(A1376="","",A1376-WEEKDAY(A1376,3))</f>
        <v/>
      </c>
      <c r="L1376" s="11"/>
    </row>
    <row r="1377" customFormat="false" ht="15" hidden="false" customHeight="false" outlineLevel="0" collapsed="false">
      <c r="A1377" s="10"/>
      <c r="B1377" s="11"/>
      <c r="C1377" s="11"/>
      <c r="D1377" s="11"/>
      <c r="E1377" s="11"/>
      <c r="F1377" s="11"/>
      <c r="G1377" s="11"/>
      <c r="H1377" s="15" t="str">
        <f aca="false">IF(OR(D1377="",F1377=""),"",IF(F1377&lt;=1,D1377,D1377*(1+F1377/30)))</f>
        <v/>
      </c>
      <c r="I1377" s="15" t="str">
        <f aca="false">IF(OR(D1377="",F1377="",G1377=""),"",IF(F1377+MAX(0,10-G1377)&lt;=1,D1377,D1377*(1+(F1377+MAX(0,10-G1377))/30)))</f>
        <v/>
      </c>
      <c r="J1377" s="16" t="str">
        <f aca="false">IF(A1377="","",IF(AND(C1377="yes",N(G1377)&gt;=7),N(E1377),0))</f>
        <v/>
      </c>
      <c r="K1377" s="17" t="str">
        <f aca="false">IF(A1377="","",A1377-WEEKDAY(A1377,3))</f>
        <v/>
      </c>
      <c r="L1377" s="11"/>
    </row>
    <row r="1378" customFormat="false" ht="15" hidden="false" customHeight="false" outlineLevel="0" collapsed="false">
      <c r="A1378" s="10"/>
      <c r="B1378" s="11"/>
      <c r="C1378" s="11"/>
      <c r="D1378" s="11"/>
      <c r="E1378" s="11"/>
      <c r="F1378" s="11"/>
      <c r="G1378" s="11"/>
      <c r="H1378" s="15" t="str">
        <f aca="false">IF(OR(D1378="",F1378=""),"",IF(F1378&lt;=1,D1378,D1378*(1+F1378/30)))</f>
        <v/>
      </c>
      <c r="I1378" s="15" t="str">
        <f aca="false">IF(OR(D1378="",F1378="",G1378=""),"",IF(F1378+MAX(0,10-G1378)&lt;=1,D1378,D1378*(1+(F1378+MAX(0,10-G1378))/30)))</f>
        <v/>
      </c>
      <c r="J1378" s="16" t="str">
        <f aca="false">IF(A1378="","",IF(AND(C1378="yes",N(G1378)&gt;=7),N(E1378),0))</f>
        <v/>
      </c>
      <c r="K1378" s="17" t="str">
        <f aca="false">IF(A1378="","",A1378-WEEKDAY(A1378,3))</f>
        <v/>
      </c>
      <c r="L1378" s="11"/>
    </row>
    <row r="1379" customFormat="false" ht="15" hidden="false" customHeight="false" outlineLevel="0" collapsed="false">
      <c r="A1379" s="10"/>
      <c r="B1379" s="11"/>
      <c r="C1379" s="11"/>
      <c r="D1379" s="11"/>
      <c r="E1379" s="11"/>
      <c r="F1379" s="11"/>
      <c r="G1379" s="11"/>
      <c r="H1379" s="15" t="str">
        <f aca="false">IF(OR(D1379="",F1379=""),"",IF(F1379&lt;=1,D1379,D1379*(1+F1379/30)))</f>
        <v/>
      </c>
      <c r="I1379" s="15" t="str">
        <f aca="false">IF(OR(D1379="",F1379="",G1379=""),"",IF(F1379+MAX(0,10-G1379)&lt;=1,D1379,D1379*(1+(F1379+MAX(0,10-G1379))/30)))</f>
        <v/>
      </c>
      <c r="J1379" s="16" t="str">
        <f aca="false">IF(A1379="","",IF(AND(C1379="yes",N(G1379)&gt;=7),N(E1379),0))</f>
        <v/>
      </c>
      <c r="K1379" s="17" t="str">
        <f aca="false">IF(A1379="","",A1379-WEEKDAY(A1379,3))</f>
        <v/>
      </c>
      <c r="L1379" s="11"/>
    </row>
    <row r="1380" customFormat="false" ht="15" hidden="false" customHeight="false" outlineLevel="0" collapsed="false">
      <c r="A1380" s="10"/>
      <c r="B1380" s="11"/>
      <c r="C1380" s="11"/>
      <c r="D1380" s="11"/>
      <c r="E1380" s="11"/>
      <c r="F1380" s="11"/>
      <c r="G1380" s="11"/>
      <c r="H1380" s="15" t="str">
        <f aca="false">IF(OR(D1380="",F1380=""),"",IF(F1380&lt;=1,D1380,D1380*(1+F1380/30)))</f>
        <v/>
      </c>
      <c r="I1380" s="15" t="str">
        <f aca="false">IF(OR(D1380="",F1380="",G1380=""),"",IF(F1380+MAX(0,10-G1380)&lt;=1,D1380,D1380*(1+(F1380+MAX(0,10-G1380))/30)))</f>
        <v/>
      </c>
      <c r="J1380" s="16" t="str">
        <f aca="false">IF(A1380="","",IF(AND(C1380="yes",N(G1380)&gt;=7),N(E1380),0))</f>
        <v/>
      </c>
      <c r="K1380" s="17" t="str">
        <f aca="false">IF(A1380="","",A1380-WEEKDAY(A1380,3))</f>
        <v/>
      </c>
      <c r="L1380" s="11"/>
    </row>
    <row r="1381" customFormat="false" ht="15" hidden="false" customHeight="false" outlineLevel="0" collapsed="false">
      <c r="A1381" s="10"/>
      <c r="B1381" s="11"/>
      <c r="C1381" s="11"/>
      <c r="D1381" s="11"/>
      <c r="E1381" s="11"/>
      <c r="F1381" s="11"/>
      <c r="G1381" s="11"/>
      <c r="H1381" s="15" t="str">
        <f aca="false">IF(OR(D1381="",F1381=""),"",IF(F1381&lt;=1,D1381,D1381*(1+F1381/30)))</f>
        <v/>
      </c>
      <c r="I1381" s="15" t="str">
        <f aca="false">IF(OR(D1381="",F1381="",G1381=""),"",IF(F1381+MAX(0,10-G1381)&lt;=1,D1381,D1381*(1+(F1381+MAX(0,10-G1381))/30)))</f>
        <v/>
      </c>
      <c r="J1381" s="16" t="str">
        <f aca="false">IF(A1381="","",IF(AND(C1381="yes",N(G1381)&gt;=7),N(E1381),0))</f>
        <v/>
      </c>
      <c r="K1381" s="17" t="str">
        <f aca="false">IF(A1381="","",A1381-WEEKDAY(A1381,3))</f>
        <v/>
      </c>
      <c r="L1381" s="11"/>
    </row>
    <row r="1382" customFormat="false" ht="15" hidden="false" customHeight="false" outlineLevel="0" collapsed="false">
      <c r="A1382" s="10"/>
      <c r="B1382" s="11"/>
      <c r="C1382" s="11"/>
      <c r="D1382" s="11"/>
      <c r="E1382" s="11"/>
      <c r="F1382" s="11"/>
      <c r="G1382" s="11"/>
      <c r="H1382" s="15" t="str">
        <f aca="false">IF(OR(D1382="",F1382=""),"",IF(F1382&lt;=1,D1382,D1382*(1+F1382/30)))</f>
        <v/>
      </c>
      <c r="I1382" s="15" t="str">
        <f aca="false">IF(OR(D1382="",F1382="",G1382=""),"",IF(F1382+MAX(0,10-G1382)&lt;=1,D1382,D1382*(1+(F1382+MAX(0,10-G1382))/30)))</f>
        <v/>
      </c>
      <c r="J1382" s="16" t="str">
        <f aca="false">IF(A1382="","",IF(AND(C1382="yes",N(G1382)&gt;=7),N(E1382),0))</f>
        <v/>
      </c>
      <c r="K1382" s="17" t="str">
        <f aca="false">IF(A1382="","",A1382-WEEKDAY(A1382,3))</f>
        <v/>
      </c>
      <c r="L1382" s="11"/>
    </row>
    <row r="1383" customFormat="false" ht="15" hidden="false" customHeight="false" outlineLevel="0" collapsed="false">
      <c r="A1383" s="10"/>
      <c r="B1383" s="11"/>
      <c r="C1383" s="11"/>
      <c r="D1383" s="11"/>
      <c r="E1383" s="11"/>
      <c r="F1383" s="11"/>
      <c r="G1383" s="11"/>
      <c r="H1383" s="15" t="str">
        <f aca="false">IF(OR(D1383="",F1383=""),"",IF(F1383&lt;=1,D1383,D1383*(1+F1383/30)))</f>
        <v/>
      </c>
      <c r="I1383" s="15" t="str">
        <f aca="false">IF(OR(D1383="",F1383="",G1383=""),"",IF(F1383+MAX(0,10-G1383)&lt;=1,D1383,D1383*(1+(F1383+MAX(0,10-G1383))/30)))</f>
        <v/>
      </c>
      <c r="J1383" s="16" t="str">
        <f aca="false">IF(A1383="","",IF(AND(C1383="yes",N(G1383)&gt;=7),N(E1383),0))</f>
        <v/>
      </c>
      <c r="K1383" s="17" t="str">
        <f aca="false">IF(A1383="","",A1383-WEEKDAY(A1383,3))</f>
        <v/>
      </c>
      <c r="L1383" s="11"/>
    </row>
    <row r="1384" customFormat="false" ht="15" hidden="false" customHeight="false" outlineLevel="0" collapsed="false">
      <c r="A1384" s="10"/>
      <c r="B1384" s="11"/>
      <c r="C1384" s="11"/>
      <c r="D1384" s="11"/>
      <c r="E1384" s="11"/>
      <c r="F1384" s="11"/>
      <c r="G1384" s="11"/>
      <c r="H1384" s="15" t="str">
        <f aca="false">IF(OR(D1384="",F1384=""),"",IF(F1384&lt;=1,D1384,D1384*(1+F1384/30)))</f>
        <v/>
      </c>
      <c r="I1384" s="15" t="str">
        <f aca="false">IF(OR(D1384="",F1384="",G1384=""),"",IF(F1384+MAX(0,10-G1384)&lt;=1,D1384,D1384*(1+(F1384+MAX(0,10-G1384))/30)))</f>
        <v/>
      </c>
      <c r="J1384" s="16" t="str">
        <f aca="false">IF(A1384="","",IF(AND(C1384="yes",N(G1384)&gt;=7),N(E1384),0))</f>
        <v/>
      </c>
      <c r="K1384" s="17" t="str">
        <f aca="false">IF(A1384="","",A1384-WEEKDAY(A1384,3))</f>
        <v/>
      </c>
      <c r="L1384" s="11"/>
    </row>
    <row r="1385" customFormat="false" ht="15" hidden="false" customHeight="false" outlineLevel="0" collapsed="false">
      <c r="A1385" s="10"/>
      <c r="B1385" s="11"/>
      <c r="C1385" s="11"/>
      <c r="D1385" s="11"/>
      <c r="E1385" s="11"/>
      <c r="F1385" s="11"/>
      <c r="G1385" s="11"/>
      <c r="H1385" s="15" t="str">
        <f aca="false">IF(OR(D1385="",F1385=""),"",IF(F1385&lt;=1,D1385,D1385*(1+F1385/30)))</f>
        <v/>
      </c>
      <c r="I1385" s="15" t="str">
        <f aca="false">IF(OR(D1385="",F1385="",G1385=""),"",IF(F1385+MAX(0,10-G1385)&lt;=1,D1385,D1385*(1+(F1385+MAX(0,10-G1385))/30)))</f>
        <v/>
      </c>
      <c r="J1385" s="16" t="str">
        <f aca="false">IF(A1385="","",IF(AND(C1385="yes",N(G1385)&gt;=7),N(E1385),0))</f>
        <v/>
      </c>
      <c r="K1385" s="17" t="str">
        <f aca="false">IF(A1385="","",A1385-WEEKDAY(A1385,3))</f>
        <v/>
      </c>
      <c r="L1385" s="11"/>
    </row>
    <row r="1386" customFormat="false" ht="15" hidden="false" customHeight="false" outlineLevel="0" collapsed="false">
      <c r="A1386" s="10"/>
      <c r="B1386" s="11"/>
      <c r="C1386" s="11"/>
      <c r="D1386" s="11"/>
      <c r="E1386" s="11"/>
      <c r="F1386" s="11"/>
      <c r="G1386" s="11"/>
      <c r="H1386" s="15" t="str">
        <f aca="false">IF(OR(D1386="",F1386=""),"",IF(F1386&lt;=1,D1386,D1386*(1+F1386/30)))</f>
        <v/>
      </c>
      <c r="I1386" s="15" t="str">
        <f aca="false">IF(OR(D1386="",F1386="",G1386=""),"",IF(F1386+MAX(0,10-G1386)&lt;=1,D1386,D1386*(1+(F1386+MAX(0,10-G1386))/30)))</f>
        <v/>
      </c>
      <c r="J1386" s="16" t="str">
        <f aca="false">IF(A1386="","",IF(AND(C1386="yes",N(G1386)&gt;=7),N(E1386),0))</f>
        <v/>
      </c>
      <c r="K1386" s="17" t="str">
        <f aca="false">IF(A1386="","",A1386-WEEKDAY(A1386,3))</f>
        <v/>
      </c>
      <c r="L1386" s="11"/>
    </row>
    <row r="1387" customFormat="false" ht="15" hidden="false" customHeight="false" outlineLevel="0" collapsed="false">
      <c r="A1387" s="10"/>
      <c r="B1387" s="11"/>
      <c r="C1387" s="11"/>
      <c r="D1387" s="11"/>
      <c r="E1387" s="11"/>
      <c r="F1387" s="11"/>
      <c r="G1387" s="11"/>
      <c r="H1387" s="15" t="str">
        <f aca="false">IF(OR(D1387="",F1387=""),"",IF(F1387&lt;=1,D1387,D1387*(1+F1387/30)))</f>
        <v/>
      </c>
      <c r="I1387" s="15" t="str">
        <f aca="false">IF(OR(D1387="",F1387="",G1387=""),"",IF(F1387+MAX(0,10-G1387)&lt;=1,D1387,D1387*(1+(F1387+MAX(0,10-G1387))/30)))</f>
        <v/>
      </c>
      <c r="J1387" s="16" t="str">
        <f aca="false">IF(A1387="","",IF(AND(C1387="yes",N(G1387)&gt;=7),N(E1387),0))</f>
        <v/>
      </c>
      <c r="K1387" s="17" t="str">
        <f aca="false">IF(A1387="","",A1387-WEEKDAY(A1387,3))</f>
        <v/>
      </c>
      <c r="L1387" s="11"/>
    </row>
    <row r="1388" customFormat="false" ht="15" hidden="false" customHeight="false" outlineLevel="0" collapsed="false">
      <c r="A1388" s="10"/>
      <c r="B1388" s="11"/>
      <c r="C1388" s="11"/>
      <c r="D1388" s="11"/>
      <c r="E1388" s="11"/>
      <c r="F1388" s="11"/>
      <c r="G1388" s="11"/>
      <c r="H1388" s="15" t="str">
        <f aca="false">IF(OR(D1388="",F1388=""),"",IF(F1388&lt;=1,D1388,D1388*(1+F1388/30)))</f>
        <v/>
      </c>
      <c r="I1388" s="15" t="str">
        <f aca="false">IF(OR(D1388="",F1388="",G1388=""),"",IF(F1388+MAX(0,10-G1388)&lt;=1,D1388,D1388*(1+(F1388+MAX(0,10-G1388))/30)))</f>
        <v/>
      </c>
      <c r="J1388" s="16" t="str">
        <f aca="false">IF(A1388="","",IF(AND(C1388="yes",N(G1388)&gt;=7),N(E1388),0))</f>
        <v/>
      </c>
      <c r="K1388" s="17" t="str">
        <f aca="false">IF(A1388="","",A1388-WEEKDAY(A1388,3))</f>
        <v/>
      </c>
      <c r="L1388" s="11"/>
    </row>
    <row r="1389" customFormat="false" ht="15" hidden="false" customHeight="false" outlineLevel="0" collapsed="false">
      <c r="A1389" s="10"/>
      <c r="B1389" s="11"/>
      <c r="C1389" s="11"/>
      <c r="D1389" s="11"/>
      <c r="E1389" s="11"/>
      <c r="F1389" s="11"/>
      <c r="G1389" s="11"/>
      <c r="H1389" s="15" t="str">
        <f aca="false">IF(OR(D1389="",F1389=""),"",IF(F1389&lt;=1,D1389,D1389*(1+F1389/30)))</f>
        <v/>
      </c>
      <c r="I1389" s="15" t="str">
        <f aca="false">IF(OR(D1389="",F1389="",G1389=""),"",IF(F1389+MAX(0,10-G1389)&lt;=1,D1389,D1389*(1+(F1389+MAX(0,10-G1389))/30)))</f>
        <v/>
      </c>
      <c r="J1389" s="16" t="str">
        <f aca="false">IF(A1389="","",IF(AND(C1389="yes",N(G1389)&gt;=7),N(E1389),0))</f>
        <v/>
      </c>
      <c r="K1389" s="17" t="str">
        <f aca="false">IF(A1389="","",A1389-WEEKDAY(A1389,3))</f>
        <v/>
      </c>
      <c r="L1389" s="11"/>
    </row>
    <row r="1390" customFormat="false" ht="15" hidden="false" customHeight="false" outlineLevel="0" collapsed="false">
      <c r="A1390" s="10"/>
      <c r="B1390" s="11"/>
      <c r="C1390" s="11"/>
      <c r="D1390" s="11"/>
      <c r="E1390" s="11"/>
      <c r="F1390" s="11"/>
      <c r="G1390" s="11"/>
      <c r="H1390" s="15" t="str">
        <f aca="false">IF(OR(D1390="",F1390=""),"",IF(F1390&lt;=1,D1390,D1390*(1+F1390/30)))</f>
        <v/>
      </c>
      <c r="I1390" s="15" t="str">
        <f aca="false">IF(OR(D1390="",F1390="",G1390=""),"",IF(F1390+MAX(0,10-G1390)&lt;=1,D1390,D1390*(1+(F1390+MAX(0,10-G1390))/30)))</f>
        <v/>
      </c>
      <c r="J1390" s="16" t="str">
        <f aca="false">IF(A1390="","",IF(AND(C1390="yes",N(G1390)&gt;=7),N(E1390),0))</f>
        <v/>
      </c>
      <c r="K1390" s="17" t="str">
        <f aca="false">IF(A1390="","",A1390-WEEKDAY(A1390,3))</f>
        <v/>
      </c>
      <c r="L1390" s="11"/>
    </row>
    <row r="1391" customFormat="false" ht="15" hidden="false" customHeight="false" outlineLevel="0" collapsed="false">
      <c r="A1391" s="10"/>
      <c r="B1391" s="11"/>
      <c r="C1391" s="11"/>
      <c r="D1391" s="11"/>
      <c r="E1391" s="11"/>
      <c r="F1391" s="11"/>
      <c r="G1391" s="11"/>
      <c r="H1391" s="15" t="str">
        <f aca="false">IF(OR(D1391="",F1391=""),"",IF(F1391&lt;=1,D1391,D1391*(1+F1391/30)))</f>
        <v/>
      </c>
      <c r="I1391" s="15" t="str">
        <f aca="false">IF(OR(D1391="",F1391="",G1391=""),"",IF(F1391+MAX(0,10-G1391)&lt;=1,D1391,D1391*(1+(F1391+MAX(0,10-G1391))/30)))</f>
        <v/>
      </c>
      <c r="J1391" s="16" t="str">
        <f aca="false">IF(A1391="","",IF(AND(C1391="yes",N(G1391)&gt;=7),N(E1391),0))</f>
        <v/>
      </c>
      <c r="K1391" s="17" t="str">
        <f aca="false">IF(A1391="","",A1391-WEEKDAY(A1391,3))</f>
        <v/>
      </c>
      <c r="L1391" s="11"/>
    </row>
    <row r="1392" customFormat="false" ht="15" hidden="false" customHeight="false" outlineLevel="0" collapsed="false">
      <c r="A1392" s="10"/>
      <c r="B1392" s="11"/>
      <c r="C1392" s="11"/>
      <c r="D1392" s="11"/>
      <c r="E1392" s="11"/>
      <c r="F1392" s="11"/>
      <c r="G1392" s="11"/>
      <c r="H1392" s="15" t="str">
        <f aca="false">IF(OR(D1392="",F1392=""),"",IF(F1392&lt;=1,D1392,D1392*(1+F1392/30)))</f>
        <v/>
      </c>
      <c r="I1392" s="15" t="str">
        <f aca="false">IF(OR(D1392="",F1392="",G1392=""),"",IF(F1392+MAX(0,10-G1392)&lt;=1,D1392,D1392*(1+(F1392+MAX(0,10-G1392))/30)))</f>
        <v/>
      </c>
      <c r="J1392" s="16" t="str">
        <f aca="false">IF(A1392="","",IF(AND(C1392="yes",N(G1392)&gt;=7),N(E1392),0))</f>
        <v/>
      </c>
      <c r="K1392" s="17" t="str">
        <f aca="false">IF(A1392="","",A1392-WEEKDAY(A1392,3))</f>
        <v/>
      </c>
      <c r="L1392" s="11"/>
    </row>
    <row r="1393" customFormat="false" ht="15" hidden="false" customHeight="false" outlineLevel="0" collapsed="false">
      <c r="A1393" s="10"/>
      <c r="B1393" s="11"/>
      <c r="C1393" s="11"/>
      <c r="D1393" s="11"/>
      <c r="E1393" s="11"/>
      <c r="F1393" s="11"/>
      <c r="G1393" s="11"/>
      <c r="H1393" s="15" t="str">
        <f aca="false">IF(OR(D1393="",F1393=""),"",IF(F1393&lt;=1,D1393,D1393*(1+F1393/30)))</f>
        <v/>
      </c>
      <c r="I1393" s="15" t="str">
        <f aca="false">IF(OR(D1393="",F1393="",G1393=""),"",IF(F1393+MAX(0,10-G1393)&lt;=1,D1393,D1393*(1+(F1393+MAX(0,10-G1393))/30)))</f>
        <v/>
      </c>
      <c r="J1393" s="16" t="str">
        <f aca="false">IF(A1393="","",IF(AND(C1393="yes",N(G1393)&gt;=7),N(E1393),0))</f>
        <v/>
      </c>
      <c r="K1393" s="17" t="str">
        <f aca="false">IF(A1393="","",A1393-WEEKDAY(A1393,3))</f>
        <v/>
      </c>
      <c r="L1393" s="11"/>
    </row>
    <row r="1394" customFormat="false" ht="15" hidden="false" customHeight="false" outlineLevel="0" collapsed="false">
      <c r="A1394" s="10"/>
      <c r="B1394" s="11"/>
      <c r="C1394" s="11"/>
      <c r="D1394" s="11"/>
      <c r="E1394" s="11"/>
      <c r="F1394" s="11"/>
      <c r="G1394" s="11"/>
      <c r="H1394" s="15" t="str">
        <f aca="false">IF(OR(D1394="",F1394=""),"",IF(F1394&lt;=1,D1394,D1394*(1+F1394/30)))</f>
        <v/>
      </c>
      <c r="I1394" s="15" t="str">
        <f aca="false">IF(OR(D1394="",F1394="",G1394=""),"",IF(F1394+MAX(0,10-G1394)&lt;=1,D1394,D1394*(1+(F1394+MAX(0,10-G1394))/30)))</f>
        <v/>
      </c>
      <c r="J1394" s="16" t="str">
        <f aca="false">IF(A1394="","",IF(AND(C1394="yes",N(G1394)&gt;=7),N(E1394),0))</f>
        <v/>
      </c>
      <c r="K1394" s="17" t="str">
        <f aca="false">IF(A1394="","",A1394-WEEKDAY(A1394,3))</f>
        <v/>
      </c>
      <c r="L1394" s="11"/>
    </row>
    <row r="1395" customFormat="false" ht="15" hidden="false" customHeight="false" outlineLevel="0" collapsed="false">
      <c r="A1395" s="10"/>
      <c r="B1395" s="11"/>
      <c r="C1395" s="11"/>
      <c r="D1395" s="11"/>
      <c r="E1395" s="11"/>
      <c r="F1395" s="11"/>
      <c r="G1395" s="11"/>
      <c r="H1395" s="15" t="str">
        <f aca="false">IF(OR(D1395="",F1395=""),"",IF(F1395&lt;=1,D1395,D1395*(1+F1395/30)))</f>
        <v/>
      </c>
      <c r="I1395" s="15" t="str">
        <f aca="false">IF(OR(D1395="",F1395="",G1395=""),"",IF(F1395+MAX(0,10-G1395)&lt;=1,D1395,D1395*(1+(F1395+MAX(0,10-G1395))/30)))</f>
        <v/>
      </c>
      <c r="J1395" s="16" t="str">
        <f aca="false">IF(A1395="","",IF(AND(C1395="yes",N(G1395)&gt;=7),N(E1395),0))</f>
        <v/>
      </c>
      <c r="K1395" s="17" t="str">
        <f aca="false">IF(A1395="","",A1395-WEEKDAY(A1395,3))</f>
        <v/>
      </c>
      <c r="L1395" s="11"/>
    </row>
    <row r="1396" customFormat="false" ht="15" hidden="false" customHeight="false" outlineLevel="0" collapsed="false">
      <c r="A1396" s="10"/>
      <c r="B1396" s="11"/>
      <c r="C1396" s="11"/>
      <c r="D1396" s="11"/>
      <c r="E1396" s="11"/>
      <c r="F1396" s="11"/>
      <c r="G1396" s="11"/>
      <c r="H1396" s="15" t="str">
        <f aca="false">IF(OR(D1396="",F1396=""),"",IF(F1396&lt;=1,D1396,D1396*(1+F1396/30)))</f>
        <v/>
      </c>
      <c r="I1396" s="15" t="str">
        <f aca="false">IF(OR(D1396="",F1396="",G1396=""),"",IF(F1396+MAX(0,10-G1396)&lt;=1,D1396,D1396*(1+(F1396+MAX(0,10-G1396))/30)))</f>
        <v/>
      </c>
      <c r="J1396" s="16" t="str">
        <f aca="false">IF(A1396="","",IF(AND(C1396="yes",N(G1396)&gt;=7),N(E1396),0))</f>
        <v/>
      </c>
      <c r="K1396" s="17" t="str">
        <f aca="false">IF(A1396="","",A1396-WEEKDAY(A1396,3))</f>
        <v/>
      </c>
      <c r="L1396" s="11"/>
    </row>
    <row r="1397" customFormat="false" ht="15" hidden="false" customHeight="false" outlineLevel="0" collapsed="false">
      <c r="A1397" s="10"/>
      <c r="B1397" s="11"/>
      <c r="C1397" s="11"/>
      <c r="D1397" s="11"/>
      <c r="E1397" s="11"/>
      <c r="F1397" s="11"/>
      <c r="G1397" s="11"/>
      <c r="H1397" s="15" t="str">
        <f aca="false">IF(OR(D1397="",F1397=""),"",IF(F1397&lt;=1,D1397,D1397*(1+F1397/30)))</f>
        <v/>
      </c>
      <c r="I1397" s="15" t="str">
        <f aca="false">IF(OR(D1397="",F1397="",G1397=""),"",IF(F1397+MAX(0,10-G1397)&lt;=1,D1397,D1397*(1+(F1397+MAX(0,10-G1397))/30)))</f>
        <v/>
      </c>
      <c r="J1397" s="16" t="str">
        <f aca="false">IF(A1397="","",IF(AND(C1397="yes",N(G1397)&gt;=7),N(E1397),0))</f>
        <v/>
      </c>
      <c r="K1397" s="17" t="str">
        <f aca="false">IF(A1397="","",A1397-WEEKDAY(A1397,3))</f>
        <v/>
      </c>
      <c r="L1397" s="11"/>
    </row>
    <row r="1398" customFormat="false" ht="15" hidden="false" customHeight="false" outlineLevel="0" collapsed="false">
      <c r="A1398" s="10"/>
      <c r="B1398" s="11"/>
      <c r="C1398" s="11"/>
      <c r="D1398" s="11"/>
      <c r="E1398" s="11"/>
      <c r="F1398" s="11"/>
      <c r="G1398" s="11"/>
      <c r="H1398" s="15" t="str">
        <f aca="false">IF(OR(D1398="",F1398=""),"",IF(F1398&lt;=1,D1398,D1398*(1+F1398/30)))</f>
        <v/>
      </c>
      <c r="I1398" s="15" t="str">
        <f aca="false">IF(OR(D1398="",F1398="",G1398=""),"",IF(F1398+MAX(0,10-G1398)&lt;=1,D1398,D1398*(1+(F1398+MAX(0,10-G1398))/30)))</f>
        <v/>
      </c>
      <c r="J1398" s="16" t="str">
        <f aca="false">IF(A1398="","",IF(AND(C1398="yes",N(G1398)&gt;=7),N(E1398),0))</f>
        <v/>
      </c>
      <c r="K1398" s="17" t="str">
        <f aca="false">IF(A1398="","",A1398-WEEKDAY(A1398,3))</f>
        <v/>
      </c>
      <c r="L1398" s="11"/>
    </row>
    <row r="1399" customFormat="false" ht="15" hidden="false" customHeight="false" outlineLevel="0" collapsed="false">
      <c r="A1399" s="10"/>
      <c r="B1399" s="11"/>
      <c r="C1399" s="11"/>
      <c r="D1399" s="11"/>
      <c r="E1399" s="11"/>
      <c r="F1399" s="11"/>
      <c r="G1399" s="11"/>
      <c r="H1399" s="15" t="str">
        <f aca="false">IF(OR(D1399="",F1399=""),"",IF(F1399&lt;=1,D1399,D1399*(1+F1399/30)))</f>
        <v/>
      </c>
      <c r="I1399" s="15" t="str">
        <f aca="false">IF(OR(D1399="",F1399="",G1399=""),"",IF(F1399+MAX(0,10-G1399)&lt;=1,D1399,D1399*(1+(F1399+MAX(0,10-G1399))/30)))</f>
        <v/>
      </c>
      <c r="J1399" s="16" t="str">
        <f aca="false">IF(A1399="","",IF(AND(C1399="yes",N(G1399)&gt;=7),N(E1399),0))</f>
        <v/>
      </c>
      <c r="K1399" s="17" t="str">
        <f aca="false">IF(A1399="","",A1399-WEEKDAY(A1399,3))</f>
        <v/>
      </c>
      <c r="L1399" s="11"/>
    </row>
    <row r="1400" customFormat="false" ht="15" hidden="false" customHeight="false" outlineLevel="0" collapsed="false">
      <c r="A1400" s="10"/>
      <c r="B1400" s="11"/>
      <c r="C1400" s="11"/>
      <c r="D1400" s="11"/>
      <c r="E1400" s="11"/>
      <c r="F1400" s="11"/>
      <c r="G1400" s="11"/>
      <c r="H1400" s="15" t="str">
        <f aca="false">IF(OR(D1400="",F1400=""),"",IF(F1400&lt;=1,D1400,D1400*(1+F1400/30)))</f>
        <v/>
      </c>
      <c r="I1400" s="15" t="str">
        <f aca="false">IF(OR(D1400="",F1400="",G1400=""),"",IF(F1400+MAX(0,10-G1400)&lt;=1,D1400,D1400*(1+(F1400+MAX(0,10-G1400))/30)))</f>
        <v/>
      </c>
      <c r="J1400" s="16" t="str">
        <f aca="false">IF(A1400="","",IF(AND(C1400="yes",N(G1400)&gt;=7),N(E1400),0))</f>
        <v/>
      </c>
      <c r="K1400" s="17" t="str">
        <f aca="false">IF(A1400="","",A1400-WEEKDAY(A1400,3))</f>
        <v/>
      </c>
      <c r="L1400" s="11"/>
    </row>
    <row r="1401" customFormat="false" ht="15" hidden="false" customHeight="false" outlineLevel="0" collapsed="false">
      <c r="A1401" s="10"/>
      <c r="B1401" s="11"/>
      <c r="C1401" s="11"/>
      <c r="D1401" s="11"/>
      <c r="E1401" s="11"/>
      <c r="F1401" s="11"/>
      <c r="G1401" s="11"/>
      <c r="H1401" s="15" t="str">
        <f aca="false">IF(OR(D1401="",F1401=""),"",IF(F1401&lt;=1,D1401,D1401*(1+F1401/30)))</f>
        <v/>
      </c>
      <c r="I1401" s="15" t="str">
        <f aca="false">IF(OR(D1401="",F1401="",G1401=""),"",IF(F1401+MAX(0,10-G1401)&lt;=1,D1401,D1401*(1+(F1401+MAX(0,10-G1401))/30)))</f>
        <v/>
      </c>
      <c r="J1401" s="16" t="str">
        <f aca="false">IF(A1401="","",IF(AND(C1401="yes",N(G1401)&gt;=7),N(E1401),0))</f>
        <v/>
      </c>
      <c r="K1401" s="17" t="str">
        <f aca="false">IF(A1401="","",A1401-WEEKDAY(A1401,3))</f>
        <v/>
      </c>
      <c r="L1401" s="11"/>
    </row>
    <row r="1402" customFormat="false" ht="15" hidden="false" customHeight="false" outlineLevel="0" collapsed="false">
      <c r="A1402" s="10"/>
      <c r="B1402" s="11"/>
      <c r="C1402" s="11"/>
      <c r="D1402" s="11"/>
      <c r="E1402" s="11"/>
      <c r="F1402" s="11"/>
      <c r="G1402" s="11"/>
      <c r="H1402" s="15" t="str">
        <f aca="false">IF(OR(D1402="",F1402=""),"",IF(F1402&lt;=1,D1402,D1402*(1+F1402/30)))</f>
        <v/>
      </c>
      <c r="I1402" s="15" t="str">
        <f aca="false">IF(OR(D1402="",F1402="",G1402=""),"",IF(F1402+MAX(0,10-G1402)&lt;=1,D1402,D1402*(1+(F1402+MAX(0,10-G1402))/30)))</f>
        <v/>
      </c>
      <c r="J1402" s="16" t="str">
        <f aca="false">IF(A1402="","",IF(AND(C1402="yes",N(G1402)&gt;=7),N(E1402),0))</f>
        <v/>
      </c>
      <c r="K1402" s="17" t="str">
        <f aca="false">IF(A1402="","",A1402-WEEKDAY(A1402,3))</f>
        <v/>
      </c>
      <c r="L1402" s="11"/>
    </row>
    <row r="1403" customFormat="false" ht="15" hidden="false" customHeight="false" outlineLevel="0" collapsed="false">
      <c r="A1403" s="10"/>
      <c r="B1403" s="11"/>
      <c r="C1403" s="11"/>
      <c r="D1403" s="11"/>
      <c r="E1403" s="11"/>
      <c r="F1403" s="11"/>
      <c r="G1403" s="11"/>
      <c r="H1403" s="15" t="str">
        <f aca="false">IF(OR(D1403="",F1403=""),"",IF(F1403&lt;=1,D1403,D1403*(1+F1403/30)))</f>
        <v/>
      </c>
      <c r="I1403" s="15" t="str">
        <f aca="false">IF(OR(D1403="",F1403="",G1403=""),"",IF(F1403+MAX(0,10-G1403)&lt;=1,D1403,D1403*(1+(F1403+MAX(0,10-G1403))/30)))</f>
        <v/>
      </c>
      <c r="J1403" s="16" t="str">
        <f aca="false">IF(A1403="","",IF(AND(C1403="yes",N(G1403)&gt;=7),N(E1403),0))</f>
        <v/>
      </c>
      <c r="K1403" s="17" t="str">
        <f aca="false">IF(A1403="","",A1403-WEEKDAY(A1403,3))</f>
        <v/>
      </c>
      <c r="L1403" s="11"/>
    </row>
    <row r="1404" customFormat="false" ht="15" hidden="false" customHeight="false" outlineLevel="0" collapsed="false">
      <c r="A1404" s="10"/>
      <c r="B1404" s="11"/>
      <c r="C1404" s="11"/>
      <c r="D1404" s="11"/>
      <c r="E1404" s="11"/>
      <c r="F1404" s="11"/>
      <c r="G1404" s="11"/>
      <c r="H1404" s="15" t="str">
        <f aca="false">IF(OR(D1404="",F1404=""),"",IF(F1404&lt;=1,D1404,D1404*(1+F1404/30)))</f>
        <v/>
      </c>
      <c r="I1404" s="15" t="str">
        <f aca="false">IF(OR(D1404="",F1404="",G1404=""),"",IF(F1404+MAX(0,10-G1404)&lt;=1,D1404,D1404*(1+(F1404+MAX(0,10-G1404))/30)))</f>
        <v/>
      </c>
      <c r="J1404" s="16" t="str">
        <f aca="false">IF(A1404="","",IF(AND(C1404="yes",N(G1404)&gt;=7),N(E1404),0))</f>
        <v/>
      </c>
      <c r="K1404" s="17" t="str">
        <f aca="false">IF(A1404="","",A1404-WEEKDAY(A1404,3))</f>
        <v/>
      </c>
      <c r="L1404" s="11"/>
    </row>
    <row r="1405" customFormat="false" ht="15" hidden="false" customHeight="false" outlineLevel="0" collapsed="false">
      <c r="A1405" s="10"/>
      <c r="B1405" s="11"/>
      <c r="C1405" s="11"/>
      <c r="D1405" s="11"/>
      <c r="E1405" s="11"/>
      <c r="F1405" s="11"/>
      <c r="G1405" s="11"/>
      <c r="H1405" s="15" t="str">
        <f aca="false">IF(OR(D1405="",F1405=""),"",IF(F1405&lt;=1,D1405,D1405*(1+F1405/30)))</f>
        <v/>
      </c>
      <c r="I1405" s="15" t="str">
        <f aca="false">IF(OR(D1405="",F1405="",G1405=""),"",IF(F1405+MAX(0,10-G1405)&lt;=1,D1405,D1405*(1+(F1405+MAX(0,10-G1405))/30)))</f>
        <v/>
      </c>
      <c r="J1405" s="16" t="str">
        <f aca="false">IF(A1405="","",IF(AND(C1405="yes",N(G1405)&gt;=7),N(E1405),0))</f>
        <v/>
      </c>
      <c r="K1405" s="17" t="str">
        <f aca="false">IF(A1405="","",A1405-WEEKDAY(A1405,3))</f>
        <v/>
      </c>
      <c r="L1405" s="11"/>
    </row>
    <row r="1406" customFormat="false" ht="15" hidden="false" customHeight="false" outlineLevel="0" collapsed="false">
      <c r="A1406" s="10"/>
      <c r="B1406" s="11"/>
      <c r="C1406" s="11"/>
      <c r="D1406" s="11"/>
      <c r="E1406" s="11"/>
      <c r="F1406" s="11"/>
      <c r="G1406" s="11"/>
      <c r="H1406" s="15" t="str">
        <f aca="false">IF(OR(D1406="",F1406=""),"",IF(F1406&lt;=1,D1406,D1406*(1+F1406/30)))</f>
        <v/>
      </c>
      <c r="I1406" s="15" t="str">
        <f aca="false">IF(OR(D1406="",F1406="",G1406=""),"",IF(F1406+MAX(0,10-G1406)&lt;=1,D1406,D1406*(1+(F1406+MAX(0,10-G1406))/30)))</f>
        <v/>
      </c>
      <c r="J1406" s="16" t="str">
        <f aca="false">IF(A1406="","",IF(AND(C1406="yes",N(G1406)&gt;=7),N(E1406),0))</f>
        <v/>
      </c>
      <c r="K1406" s="17" t="str">
        <f aca="false">IF(A1406="","",A1406-WEEKDAY(A1406,3))</f>
        <v/>
      </c>
      <c r="L1406" s="11"/>
    </row>
    <row r="1407" customFormat="false" ht="15" hidden="false" customHeight="false" outlineLevel="0" collapsed="false">
      <c r="A1407" s="10"/>
      <c r="B1407" s="11"/>
      <c r="C1407" s="11"/>
      <c r="D1407" s="11"/>
      <c r="E1407" s="11"/>
      <c r="F1407" s="11"/>
      <c r="G1407" s="11"/>
      <c r="H1407" s="15" t="str">
        <f aca="false">IF(OR(D1407="",F1407=""),"",IF(F1407&lt;=1,D1407,D1407*(1+F1407/30)))</f>
        <v/>
      </c>
      <c r="I1407" s="15" t="str">
        <f aca="false">IF(OR(D1407="",F1407="",G1407=""),"",IF(F1407+MAX(0,10-G1407)&lt;=1,D1407,D1407*(1+(F1407+MAX(0,10-G1407))/30)))</f>
        <v/>
      </c>
      <c r="J1407" s="16" t="str">
        <f aca="false">IF(A1407="","",IF(AND(C1407="yes",N(G1407)&gt;=7),N(E1407),0))</f>
        <v/>
      </c>
      <c r="K1407" s="17" t="str">
        <f aca="false">IF(A1407="","",A1407-WEEKDAY(A1407,3))</f>
        <v/>
      </c>
      <c r="L1407" s="11"/>
    </row>
    <row r="1408" customFormat="false" ht="15" hidden="false" customHeight="false" outlineLevel="0" collapsed="false">
      <c r="A1408" s="10"/>
      <c r="B1408" s="11"/>
      <c r="C1408" s="11"/>
      <c r="D1408" s="11"/>
      <c r="E1408" s="11"/>
      <c r="F1408" s="11"/>
      <c r="G1408" s="11"/>
      <c r="H1408" s="15" t="str">
        <f aca="false">IF(OR(D1408="",F1408=""),"",IF(F1408&lt;=1,D1408,D1408*(1+F1408/30)))</f>
        <v/>
      </c>
      <c r="I1408" s="15" t="str">
        <f aca="false">IF(OR(D1408="",F1408="",G1408=""),"",IF(F1408+MAX(0,10-G1408)&lt;=1,D1408,D1408*(1+(F1408+MAX(0,10-G1408))/30)))</f>
        <v/>
      </c>
      <c r="J1408" s="16" t="str">
        <f aca="false">IF(A1408="","",IF(AND(C1408="yes",N(G1408)&gt;=7),N(E1408),0))</f>
        <v/>
      </c>
      <c r="K1408" s="17" t="str">
        <f aca="false">IF(A1408="","",A1408-WEEKDAY(A1408,3))</f>
        <v/>
      </c>
      <c r="L1408" s="11"/>
    </row>
    <row r="1409" customFormat="false" ht="15" hidden="false" customHeight="false" outlineLevel="0" collapsed="false">
      <c r="A1409" s="10"/>
      <c r="B1409" s="11"/>
      <c r="C1409" s="11"/>
      <c r="D1409" s="11"/>
      <c r="E1409" s="11"/>
      <c r="F1409" s="11"/>
      <c r="G1409" s="11"/>
      <c r="H1409" s="15" t="str">
        <f aca="false">IF(OR(D1409="",F1409=""),"",IF(F1409&lt;=1,D1409,D1409*(1+F1409/30)))</f>
        <v/>
      </c>
      <c r="I1409" s="15" t="str">
        <f aca="false">IF(OR(D1409="",F1409="",G1409=""),"",IF(F1409+MAX(0,10-G1409)&lt;=1,D1409,D1409*(1+(F1409+MAX(0,10-G1409))/30)))</f>
        <v/>
      </c>
      <c r="J1409" s="16" t="str">
        <f aca="false">IF(A1409="","",IF(AND(C1409="yes",N(G1409)&gt;=7),N(E1409),0))</f>
        <v/>
      </c>
      <c r="K1409" s="17" t="str">
        <f aca="false">IF(A1409="","",A1409-WEEKDAY(A1409,3))</f>
        <v/>
      </c>
      <c r="L1409" s="11"/>
    </row>
    <row r="1410" customFormat="false" ht="15" hidden="false" customHeight="false" outlineLevel="0" collapsed="false">
      <c r="A1410" s="10"/>
      <c r="B1410" s="11"/>
      <c r="C1410" s="11"/>
      <c r="D1410" s="11"/>
      <c r="E1410" s="11"/>
      <c r="F1410" s="11"/>
      <c r="G1410" s="11"/>
      <c r="H1410" s="15" t="str">
        <f aca="false">IF(OR(D1410="",F1410=""),"",IF(F1410&lt;=1,D1410,D1410*(1+F1410/30)))</f>
        <v/>
      </c>
      <c r="I1410" s="15" t="str">
        <f aca="false">IF(OR(D1410="",F1410="",G1410=""),"",IF(F1410+MAX(0,10-G1410)&lt;=1,D1410,D1410*(1+(F1410+MAX(0,10-G1410))/30)))</f>
        <v/>
      </c>
      <c r="J1410" s="16" t="str">
        <f aca="false">IF(A1410="","",IF(AND(C1410="yes",N(G1410)&gt;=7),N(E1410),0))</f>
        <v/>
      </c>
      <c r="K1410" s="17" t="str">
        <f aca="false">IF(A1410="","",A1410-WEEKDAY(A1410,3))</f>
        <v/>
      </c>
      <c r="L1410" s="11"/>
    </row>
    <row r="1411" customFormat="false" ht="15" hidden="false" customHeight="false" outlineLevel="0" collapsed="false">
      <c r="A1411" s="10"/>
      <c r="B1411" s="11"/>
      <c r="C1411" s="11"/>
      <c r="D1411" s="11"/>
      <c r="E1411" s="11"/>
      <c r="F1411" s="11"/>
      <c r="G1411" s="11"/>
      <c r="H1411" s="15" t="str">
        <f aca="false">IF(OR(D1411="",F1411=""),"",IF(F1411&lt;=1,D1411,D1411*(1+F1411/30)))</f>
        <v/>
      </c>
      <c r="I1411" s="15" t="str">
        <f aca="false">IF(OR(D1411="",F1411="",G1411=""),"",IF(F1411+MAX(0,10-G1411)&lt;=1,D1411,D1411*(1+(F1411+MAX(0,10-G1411))/30)))</f>
        <v/>
      </c>
      <c r="J1411" s="16" t="str">
        <f aca="false">IF(A1411="","",IF(AND(C1411="yes",N(G1411)&gt;=7),N(E1411),0))</f>
        <v/>
      </c>
      <c r="K1411" s="17" t="str">
        <f aca="false">IF(A1411="","",A1411-WEEKDAY(A1411,3))</f>
        <v/>
      </c>
      <c r="L1411" s="11"/>
    </row>
    <row r="1412" customFormat="false" ht="15" hidden="false" customHeight="false" outlineLevel="0" collapsed="false">
      <c r="A1412" s="10"/>
      <c r="B1412" s="11"/>
      <c r="C1412" s="11"/>
      <c r="D1412" s="11"/>
      <c r="E1412" s="11"/>
      <c r="F1412" s="11"/>
      <c r="G1412" s="11"/>
      <c r="H1412" s="15" t="str">
        <f aca="false">IF(OR(D1412="",F1412=""),"",IF(F1412&lt;=1,D1412,D1412*(1+F1412/30)))</f>
        <v/>
      </c>
      <c r="I1412" s="15" t="str">
        <f aca="false">IF(OR(D1412="",F1412="",G1412=""),"",IF(F1412+MAX(0,10-G1412)&lt;=1,D1412,D1412*(1+(F1412+MAX(0,10-G1412))/30)))</f>
        <v/>
      </c>
      <c r="J1412" s="16" t="str">
        <f aca="false">IF(A1412="","",IF(AND(C1412="yes",N(G1412)&gt;=7),N(E1412),0))</f>
        <v/>
      </c>
      <c r="K1412" s="17" t="str">
        <f aca="false">IF(A1412="","",A1412-WEEKDAY(A1412,3))</f>
        <v/>
      </c>
      <c r="L1412" s="11"/>
    </row>
    <row r="1413" customFormat="false" ht="15" hidden="false" customHeight="false" outlineLevel="0" collapsed="false">
      <c r="A1413" s="10"/>
      <c r="B1413" s="11"/>
      <c r="C1413" s="11"/>
      <c r="D1413" s="11"/>
      <c r="E1413" s="11"/>
      <c r="F1413" s="11"/>
      <c r="G1413" s="11"/>
      <c r="H1413" s="15" t="str">
        <f aca="false">IF(OR(D1413="",F1413=""),"",IF(F1413&lt;=1,D1413,D1413*(1+F1413/30)))</f>
        <v/>
      </c>
      <c r="I1413" s="15" t="str">
        <f aca="false">IF(OR(D1413="",F1413="",G1413=""),"",IF(F1413+MAX(0,10-G1413)&lt;=1,D1413,D1413*(1+(F1413+MAX(0,10-G1413))/30)))</f>
        <v/>
      </c>
      <c r="J1413" s="16" t="str">
        <f aca="false">IF(A1413="","",IF(AND(C1413="yes",N(G1413)&gt;=7),N(E1413),0))</f>
        <v/>
      </c>
      <c r="K1413" s="17" t="str">
        <f aca="false">IF(A1413="","",A1413-WEEKDAY(A1413,3))</f>
        <v/>
      </c>
      <c r="L1413" s="11"/>
    </row>
    <row r="1414" customFormat="false" ht="15" hidden="false" customHeight="false" outlineLevel="0" collapsed="false">
      <c r="A1414" s="10"/>
      <c r="B1414" s="11"/>
      <c r="C1414" s="11"/>
      <c r="D1414" s="11"/>
      <c r="E1414" s="11"/>
      <c r="F1414" s="11"/>
      <c r="G1414" s="11"/>
      <c r="H1414" s="15" t="str">
        <f aca="false">IF(OR(D1414="",F1414=""),"",IF(F1414&lt;=1,D1414,D1414*(1+F1414/30)))</f>
        <v/>
      </c>
      <c r="I1414" s="15" t="str">
        <f aca="false">IF(OR(D1414="",F1414="",G1414=""),"",IF(F1414+MAX(0,10-G1414)&lt;=1,D1414,D1414*(1+(F1414+MAX(0,10-G1414))/30)))</f>
        <v/>
      </c>
      <c r="J1414" s="16" t="str">
        <f aca="false">IF(A1414="","",IF(AND(C1414="yes",N(G1414)&gt;=7),N(E1414),0))</f>
        <v/>
      </c>
      <c r="K1414" s="17" t="str">
        <f aca="false">IF(A1414="","",A1414-WEEKDAY(A1414,3))</f>
        <v/>
      </c>
      <c r="L1414" s="11"/>
    </row>
    <row r="1415" customFormat="false" ht="15" hidden="false" customHeight="false" outlineLevel="0" collapsed="false">
      <c r="A1415" s="10"/>
      <c r="B1415" s="11"/>
      <c r="C1415" s="11"/>
      <c r="D1415" s="11"/>
      <c r="E1415" s="11"/>
      <c r="F1415" s="11"/>
      <c r="G1415" s="11"/>
      <c r="H1415" s="15" t="str">
        <f aca="false">IF(OR(D1415="",F1415=""),"",IF(F1415&lt;=1,D1415,D1415*(1+F1415/30)))</f>
        <v/>
      </c>
      <c r="I1415" s="15" t="str">
        <f aca="false">IF(OR(D1415="",F1415="",G1415=""),"",IF(F1415+MAX(0,10-G1415)&lt;=1,D1415,D1415*(1+(F1415+MAX(0,10-G1415))/30)))</f>
        <v/>
      </c>
      <c r="J1415" s="16" t="str">
        <f aca="false">IF(A1415="","",IF(AND(C1415="yes",N(G1415)&gt;=7),N(E1415),0))</f>
        <v/>
      </c>
      <c r="K1415" s="17" t="str">
        <f aca="false">IF(A1415="","",A1415-WEEKDAY(A1415,3))</f>
        <v/>
      </c>
      <c r="L1415" s="11"/>
    </row>
    <row r="1416" customFormat="false" ht="15" hidden="false" customHeight="false" outlineLevel="0" collapsed="false">
      <c r="A1416" s="10"/>
      <c r="B1416" s="11"/>
      <c r="C1416" s="11"/>
      <c r="D1416" s="11"/>
      <c r="E1416" s="11"/>
      <c r="F1416" s="11"/>
      <c r="G1416" s="11"/>
      <c r="H1416" s="15" t="str">
        <f aca="false">IF(OR(D1416="",F1416=""),"",IF(F1416&lt;=1,D1416,D1416*(1+F1416/30)))</f>
        <v/>
      </c>
      <c r="I1416" s="15" t="str">
        <f aca="false">IF(OR(D1416="",F1416="",G1416=""),"",IF(F1416+MAX(0,10-G1416)&lt;=1,D1416,D1416*(1+(F1416+MAX(0,10-G1416))/30)))</f>
        <v/>
      </c>
      <c r="J1416" s="16" t="str">
        <f aca="false">IF(A1416="","",IF(AND(C1416="yes",N(G1416)&gt;=7),N(E1416),0))</f>
        <v/>
      </c>
      <c r="K1416" s="17" t="str">
        <f aca="false">IF(A1416="","",A1416-WEEKDAY(A1416,3))</f>
        <v/>
      </c>
      <c r="L1416" s="11"/>
    </row>
    <row r="1417" customFormat="false" ht="15" hidden="false" customHeight="false" outlineLevel="0" collapsed="false">
      <c r="A1417" s="10"/>
      <c r="B1417" s="11"/>
      <c r="C1417" s="11"/>
      <c r="D1417" s="11"/>
      <c r="E1417" s="11"/>
      <c r="F1417" s="11"/>
      <c r="G1417" s="11"/>
      <c r="H1417" s="15" t="str">
        <f aca="false">IF(OR(D1417="",F1417=""),"",IF(F1417&lt;=1,D1417,D1417*(1+F1417/30)))</f>
        <v/>
      </c>
      <c r="I1417" s="15" t="str">
        <f aca="false">IF(OR(D1417="",F1417="",G1417=""),"",IF(F1417+MAX(0,10-G1417)&lt;=1,D1417,D1417*(1+(F1417+MAX(0,10-G1417))/30)))</f>
        <v/>
      </c>
      <c r="J1417" s="16" t="str">
        <f aca="false">IF(A1417="","",IF(AND(C1417="yes",N(G1417)&gt;=7),N(E1417),0))</f>
        <v/>
      </c>
      <c r="K1417" s="17" t="str">
        <f aca="false">IF(A1417="","",A1417-WEEKDAY(A1417,3))</f>
        <v/>
      </c>
      <c r="L1417" s="11"/>
    </row>
    <row r="1418" customFormat="false" ht="15" hidden="false" customHeight="false" outlineLevel="0" collapsed="false">
      <c r="A1418" s="10"/>
      <c r="B1418" s="11"/>
      <c r="C1418" s="11"/>
      <c r="D1418" s="11"/>
      <c r="E1418" s="11"/>
      <c r="F1418" s="11"/>
      <c r="G1418" s="11"/>
      <c r="H1418" s="15" t="str">
        <f aca="false">IF(OR(D1418="",F1418=""),"",IF(F1418&lt;=1,D1418,D1418*(1+F1418/30)))</f>
        <v/>
      </c>
      <c r="I1418" s="15" t="str">
        <f aca="false">IF(OR(D1418="",F1418="",G1418=""),"",IF(F1418+MAX(0,10-G1418)&lt;=1,D1418,D1418*(1+(F1418+MAX(0,10-G1418))/30)))</f>
        <v/>
      </c>
      <c r="J1418" s="16" t="str">
        <f aca="false">IF(A1418="","",IF(AND(C1418="yes",N(G1418)&gt;=7),N(E1418),0))</f>
        <v/>
      </c>
      <c r="K1418" s="17" t="str">
        <f aca="false">IF(A1418="","",A1418-WEEKDAY(A1418,3))</f>
        <v/>
      </c>
      <c r="L1418" s="11"/>
    </row>
    <row r="1419" customFormat="false" ht="15" hidden="false" customHeight="false" outlineLevel="0" collapsed="false">
      <c r="A1419" s="10"/>
      <c r="B1419" s="11"/>
      <c r="C1419" s="11"/>
      <c r="D1419" s="11"/>
      <c r="E1419" s="11"/>
      <c r="F1419" s="11"/>
      <c r="G1419" s="11"/>
      <c r="H1419" s="15" t="str">
        <f aca="false">IF(OR(D1419="",F1419=""),"",IF(F1419&lt;=1,D1419,D1419*(1+F1419/30)))</f>
        <v/>
      </c>
      <c r="I1419" s="15" t="str">
        <f aca="false">IF(OR(D1419="",F1419="",G1419=""),"",IF(F1419+MAX(0,10-G1419)&lt;=1,D1419,D1419*(1+(F1419+MAX(0,10-G1419))/30)))</f>
        <v/>
      </c>
      <c r="J1419" s="16" t="str">
        <f aca="false">IF(A1419="","",IF(AND(C1419="yes",N(G1419)&gt;=7),N(E1419),0))</f>
        <v/>
      </c>
      <c r="K1419" s="17" t="str">
        <f aca="false">IF(A1419="","",A1419-WEEKDAY(A1419,3))</f>
        <v/>
      </c>
      <c r="L1419" s="11"/>
    </row>
    <row r="1420" customFormat="false" ht="15" hidden="false" customHeight="false" outlineLevel="0" collapsed="false">
      <c r="A1420" s="10"/>
      <c r="B1420" s="11"/>
      <c r="C1420" s="11"/>
      <c r="D1420" s="11"/>
      <c r="E1420" s="11"/>
      <c r="F1420" s="11"/>
      <c r="G1420" s="11"/>
      <c r="H1420" s="15" t="str">
        <f aca="false">IF(OR(D1420="",F1420=""),"",IF(F1420&lt;=1,D1420,D1420*(1+F1420/30)))</f>
        <v/>
      </c>
      <c r="I1420" s="15" t="str">
        <f aca="false">IF(OR(D1420="",F1420="",G1420=""),"",IF(F1420+MAX(0,10-G1420)&lt;=1,D1420,D1420*(1+(F1420+MAX(0,10-G1420))/30)))</f>
        <v/>
      </c>
      <c r="J1420" s="16" t="str">
        <f aca="false">IF(A1420="","",IF(AND(C1420="yes",N(G1420)&gt;=7),N(E1420),0))</f>
        <v/>
      </c>
      <c r="K1420" s="17" t="str">
        <f aca="false">IF(A1420="","",A1420-WEEKDAY(A1420,3))</f>
        <v/>
      </c>
      <c r="L1420" s="11"/>
    </row>
    <row r="1421" customFormat="false" ht="15" hidden="false" customHeight="false" outlineLevel="0" collapsed="false">
      <c r="A1421" s="10"/>
      <c r="B1421" s="11"/>
      <c r="C1421" s="11"/>
      <c r="D1421" s="11"/>
      <c r="E1421" s="11"/>
      <c r="F1421" s="11"/>
      <c r="G1421" s="11"/>
      <c r="H1421" s="15" t="str">
        <f aca="false">IF(OR(D1421="",F1421=""),"",IF(F1421&lt;=1,D1421,D1421*(1+F1421/30)))</f>
        <v/>
      </c>
      <c r="I1421" s="15" t="str">
        <f aca="false">IF(OR(D1421="",F1421="",G1421=""),"",IF(F1421+MAX(0,10-G1421)&lt;=1,D1421,D1421*(1+(F1421+MAX(0,10-G1421))/30)))</f>
        <v/>
      </c>
      <c r="J1421" s="16" t="str">
        <f aca="false">IF(A1421="","",IF(AND(C1421="yes",N(G1421)&gt;=7),N(E1421),0))</f>
        <v/>
      </c>
      <c r="K1421" s="17" t="str">
        <f aca="false">IF(A1421="","",A1421-WEEKDAY(A1421,3))</f>
        <v/>
      </c>
      <c r="L1421" s="11"/>
    </row>
    <row r="1422" customFormat="false" ht="15" hidden="false" customHeight="false" outlineLevel="0" collapsed="false">
      <c r="A1422" s="10"/>
      <c r="B1422" s="11"/>
      <c r="C1422" s="11"/>
      <c r="D1422" s="11"/>
      <c r="E1422" s="11"/>
      <c r="F1422" s="11"/>
      <c r="G1422" s="11"/>
      <c r="H1422" s="15" t="str">
        <f aca="false">IF(OR(D1422="",F1422=""),"",IF(F1422&lt;=1,D1422,D1422*(1+F1422/30)))</f>
        <v/>
      </c>
      <c r="I1422" s="15" t="str">
        <f aca="false">IF(OR(D1422="",F1422="",G1422=""),"",IF(F1422+MAX(0,10-G1422)&lt;=1,D1422,D1422*(1+(F1422+MAX(0,10-G1422))/30)))</f>
        <v/>
      </c>
      <c r="J1422" s="16" t="str">
        <f aca="false">IF(A1422="","",IF(AND(C1422="yes",N(G1422)&gt;=7),N(E1422),0))</f>
        <v/>
      </c>
      <c r="K1422" s="17" t="str">
        <f aca="false">IF(A1422="","",A1422-WEEKDAY(A1422,3))</f>
        <v/>
      </c>
      <c r="L1422" s="11"/>
    </row>
    <row r="1423" customFormat="false" ht="15" hidden="false" customHeight="false" outlineLevel="0" collapsed="false">
      <c r="A1423" s="10"/>
      <c r="B1423" s="11"/>
      <c r="C1423" s="11"/>
      <c r="D1423" s="11"/>
      <c r="E1423" s="11"/>
      <c r="F1423" s="11"/>
      <c r="G1423" s="11"/>
      <c r="H1423" s="15" t="str">
        <f aca="false">IF(OR(D1423="",F1423=""),"",IF(F1423&lt;=1,D1423,D1423*(1+F1423/30)))</f>
        <v/>
      </c>
      <c r="I1423" s="15" t="str">
        <f aca="false">IF(OR(D1423="",F1423="",G1423=""),"",IF(F1423+MAX(0,10-G1423)&lt;=1,D1423,D1423*(1+(F1423+MAX(0,10-G1423))/30)))</f>
        <v/>
      </c>
      <c r="J1423" s="16" t="str">
        <f aca="false">IF(A1423="","",IF(AND(C1423="yes",N(G1423)&gt;=7),N(E1423),0))</f>
        <v/>
      </c>
      <c r="K1423" s="17" t="str">
        <f aca="false">IF(A1423="","",A1423-WEEKDAY(A1423,3))</f>
        <v/>
      </c>
      <c r="L1423" s="11"/>
    </row>
    <row r="1424" customFormat="false" ht="15" hidden="false" customHeight="false" outlineLevel="0" collapsed="false">
      <c r="A1424" s="10"/>
      <c r="B1424" s="11"/>
      <c r="C1424" s="11"/>
      <c r="D1424" s="11"/>
      <c r="E1424" s="11"/>
      <c r="F1424" s="11"/>
      <c r="G1424" s="11"/>
      <c r="H1424" s="15" t="str">
        <f aca="false">IF(OR(D1424="",F1424=""),"",IF(F1424&lt;=1,D1424,D1424*(1+F1424/30)))</f>
        <v/>
      </c>
      <c r="I1424" s="15" t="str">
        <f aca="false">IF(OR(D1424="",F1424="",G1424=""),"",IF(F1424+MAX(0,10-G1424)&lt;=1,D1424,D1424*(1+(F1424+MAX(0,10-G1424))/30)))</f>
        <v/>
      </c>
      <c r="J1424" s="16" t="str">
        <f aca="false">IF(A1424="","",IF(AND(C1424="yes",N(G1424)&gt;=7),N(E1424),0))</f>
        <v/>
      </c>
      <c r="K1424" s="17" t="str">
        <f aca="false">IF(A1424="","",A1424-WEEKDAY(A1424,3))</f>
        <v/>
      </c>
      <c r="L1424" s="11"/>
    </row>
    <row r="1425" customFormat="false" ht="15" hidden="false" customHeight="false" outlineLevel="0" collapsed="false">
      <c r="A1425" s="10"/>
      <c r="B1425" s="11"/>
      <c r="C1425" s="11"/>
      <c r="D1425" s="11"/>
      <c r="E1425" s="11"/>
      <c r="F1425" s="11"/>
      <c r="G1425" s="11"/>
      <c r="H1425" s="15" t="str">
        <f aca="false">IF(OR(D1425="",F1425=""),"",IF(F1425&lt;=1,D1425,D1425*(1+F1425/30)))</f>
        <v/>
      </c>
      <c r="I1425" s="15" t="str">
        <f aca="false">IF(OR(D1425="",F1425="",G1425=""),"",IF(F1425+MAX(0,10-G1425)&lt;=1,D1425,D1425*(1+(F1425+MAX(0,10-G1425))/30)))</f>
        <v/>
      </c>
      <c r="J1425" s="16" t="str">
        <f aca="false">IF(A1425="","",IF(AND(C1425="yes",N(G1425)&gt;=7),N(E1425),0))</f>
        <v/>
      </c>
      <c r="K1425" s="17" t="str">
        <f aca="false">IF(A1425="","",A1425-WEEKDAY(A1425,3))</f>
        <v/>
      </c>
      <c r="L1425" s="11"/>
    </row>
    <row r="1426" customFormat="false" ht="15" hidden="false" customHeight="false" outlineLevel="0" collapsed="false">
      <c r="A1426" s="10"/>
      <c r="B1426" s="11"/>
      <c r="C1426" s="11"/>
      <c r="D1426" s="11"/>
      <c r="E1426" s="11"/>
      <c r="F1426" s="11"/>
      <c r="G1426" s="11"/>
      <c r="H1426" s="15" t="str">
        <f aca="false">IF(OR(D1426="",F1426=""),"",IF(F1426&lt;=1,D1426,D1426*(1+F1426/30)))</f>
        <v/>
      </c>
      <c r="I1426" s="15" t="str">
        <f aca="false">IF(OR(D1426="",F1426="",G1426=""),"",IF(F1426+MAX(0,10-G1426)&lt;=1,D1426,D1426*(1+(F1426+MAX(0,10-G1426))/30)))</f>
        <v/>
      </c>
      <c r="J1426" s="16" t="str">
        <f aca="false">IF(A1426="","",IF(AND(C1426="yes",N(G1426)&gt;=7),N(E1426),0))</f>
        <v/>
      </c>
      <c r="K1426" s="17" t="str">
        <f aca="false">IF(A1426="","",A1426-WEEKDAY(A1426,3))</f>
        <v/>
      </c>
      <c r="L1426" s="11"/>
    </row>
    <row r="1427" customFormat="false" ht="15" hidden="false" customHeight="false" outlineLevel="0" collapsed="false">
      <c r="A1427" s="10"/>
      <c r="B1427" s="11"/>
      <c r="C1427" s="11"/>
      <c r="D1427" s="11"/>
      <c r="E1427" s="11"/>
      <c r="F1427" s="11"/>
      <c r="G1427" s="11"/>
      <c r="H1427" s="15" t="str">
        <f aca="false">IF(OR(D1427="",F1427=""),"",IF(F1427&lt;=1,D1427,D1427*(1+F1427/30)))</f>
        <v/>
      </c>
      <c r="I1427" s="15" t="str">
        <f aca="false">IF(OR(D1427="",F1427="",G1427=""),"",IF(F1427+MAX(0,10-G1427)&lt;=1,D1427,D1427*(1+(F1427+MAX(0,10-G1427))/30)))</f>
        <v/>
      </c>
      <c r="J1427" s="16" t="str">
        <f aca="false">IF(A1427="","",IF(AND(C1427="yes",N(G1427)&gt;=7),N(E1427),0))</f>
        <v/>
      </c>
      <c r="K1427" s="17" t="str">
        <f aca="false">IF(A1427="","",A1427-WEEKDAY(A1427,3))</f>
        <v/>
      </c>
      <c r="L1427" s="11"/>
    </row>
    <row r="1428" customFormat="false" ht="15" hidden="false" customHeight="false" outlineLevel="0" collapsed="false">
      <c r="A1428" s="10"/>
      <c r="B1428" s="11"/>
      <c r="C1428" s="11"/>
      <c r="D1428" s="11"/>
      <c r="E1428" s="11"/>
      <c r="F1428" s="11"/>
      <c r="G1428" s="11"/>
      <c r="H1428" s="15" t="str">
        <f aca="false">IF(OR(D1428="",F1428=""),"",IF(F1428&lt;=1,D1428,D1428*(1+F1428/30)))</f>
        <v/>
      </c>
      <c r="I1428" s="15" t="str">
        <f aca="false">IF(OR(D1428="",F1428="",G1428=""),"",IF(F1428+MAX(0,10-G1428)&lt;=1,D1428,D1428*(1+(F1428+MAX(0,10-G1428))/30)))</f>
        <v/>
      </c>
      <c r="J1428" s="16" t="str">
        <f aca="false">IF(A1428="","",IF(AND(C1428="yes",N(G1428)&gt;=7),N(E1428),0))</f>
        <v/>
      </c>
      <c r="K1428" s="17" t="str">
        <f aca="false">IF(A1428="","",A1428-WEEKDAY(A1428,3))</f>
        <v/>
      </c>
      <c r="L1428" s="11"/>
    </row>
    <row r="1429" customFormat="false" ht="15" hidden="false" customHeight="false" outlineLevel="0" collapsed="false">
      <c r="A1429" s="10"/>
      <c r="B1429" s="11"/>
      <c r="C1429" s="11"/>
      <c r="D1429" s="11"/>
      <c r="E1429" s="11"/>
      <c r="F1429" s="11"/>
      <c r="G1429" s="11"/>
      <c r="H1429" s="15" t="str">
        <f aca="false">IF(OR(D1429="",F1429=""),"",IF(F1429&lt;=1,D1429,D1429*(1+F1429/30)))</f>
        <v/>
      </c>
      <c r="I1429" s="15" t="str">
        <f aca="false">IF(OR(D1429="",F1429="",G1429=""),"",IF(F1429+MAX(0,10-G1429)&lt;=1,D1429,D1429*(1+(F1429+MAX(0,10-G1429))/30)))</f>
        <v/>
      </c>
      <c r="J1429" s="16" t="str">
        <f aca="false">IF(A1429="","",IF(AND(C1429="yes",N(G1429)&gt;=7),N(E1429),0))</f>
        <v/>
      </c>
      <c r="K1429" s="17" t="str">
        <f aca="false">IF(A1429="","",A1429-WEEKDAY(A1429,3))</f>
        <v/>
      </c>
      <c r="L1429" s="11"/>
    </row>
    <row r="1430" customFormat="false" ht="15" hidden="false" customHeight="false" outlineLevel="0" collapsed="false">
      <c r="A1430" s="10"/>
      <c r="B1430" s="11"/>
      <c r="C1430" s="11"/>
      <c r="D1430" s="11"/>
      <c r="E1430" s="11"/>
      <c r="F1430" s="11"/>
      <c r="G1430" s="11"/>
      <c r="H1430" s="15" t="str">
        <f aca="false">IF(OR(D1430="",F1430=""),"",IF(F1430&lt;=1,D1430,D1430*(1+F1430/30)))</f>
        <v/>
      </c>
      <c r="I1430" s="15" t="str">
        <f aca="false">IF(OR(D1430="",F1430="",G1430=""),"",IF(F1430+MAX(0,10-G1430)&lt;=1,D1430,D1430*(1+(F1430+MAX(0,10-G1430))/30)))</f>
        <v/>
      </c>
      <c r="J1430" s="16" t="str">
        <f aca="false">IF(A1430="","",IF(AND(C1430="yes",N(G1430)&gt;=7),N(E1430),0))</f>
        <v/>
      </c>
      <c r="K1430" s="17" t="str">
        <f aca="false">IF(A1430="","",A1430-WEEKDAY(A1430,3))</f>
        <v/>
      </c>
      <c r="L1430" s="11"/>
    </row>
    <row r="1431" customFormat="false" ht="15" hidden="false" customHeight="false" outlineLevel="0" collapsed="false">
      <c r="A1431" s="10"/>
      <c r="B1431" s="11"/>
      <c r="C1431" s="11"/>
      <c r="D1431" s="11"/>
      <c r="E1431" s="11"/>
      <c r="F1431" s="11"/>
      <c r="G1431" s="11"/>
      <c r="H1431" s="15" t="str">
        <f aca="false">IF(OR(D1431="",F1431=""),"",IF(F1431&lt;=1,D1431,D1431*(1+F1431/30)))</f>
        <v/>
      </c>
      <c r="I1431" s="15" t="str">
        <f aca="false">IF(OR(D1431="",F1431="",G1431=""),"",IF(F1431+MAX(0,10-G1431)&lt;=1,D1431,D1431*(1+(F1431+MAX(0,10-G1431))/30)))</f>
        <v/>
      </c>
      <c r="J1431" s="16" t="str">
        <f aca="false">IF(A1431="","",IF(AND(C1431="yes",N(G1431)&gt;=7),N(E1431),0))</f>
        <v/>
      </c>
      <c r="K1431" s="17" t="str">
        <f aca="false">IF(A1431="","",A1431-WEEKDAY(A1431,3))</f>
        <v/>
      </c>
      <c r="L1431" s="11"/>
    </row>
    <row r="1432" customFormat="false" ht="15" hidden="false" customHeight="false" outlineLevel="0" collapsed="false">
      <c r="A1432" s="10"/>
      <c r="B1432" s="11"/>
      <c r="C1432" s="11"/>
      <c r="D1432" s="11"/>
      <c r="E1432" s="11"/>
      <c r="F1432" s="11"/>
      <c r="G1432" s="11"/>
      <c r="H1432" s="15" t="str">
        <f aca="false">IF(OR(D1432="",F1432=""),"",IF(F1432&lt;=1,D1432,D1432*(1+F1432/30)))</f>
        <v/>
      </c>
      <c r="I1432" s="15" t="str">
        <f aca="false">IF(OR(D1432="",F1432="",G1432=""),"",IF(F1432+MAX(0,10-G1432)&lt;=1,D1432,D1432*(1+(F1432+MAX(0,10-G1432))/30)))</f>
        <v/>
      </c>
      <c r="J1432" s="16" t="str">
        <f aca="false">IF(A1432="","",IF(AND(C1432="yes",N(G1432)&gt;=7),N(E1432),0))</f>
        <v/>
      </c>
      <c r="K1432" s="17" t="str">
        <f aca="false">IF(A1432="","",A1432-WEEKDAY(A1432,3))</f>
        <v/>
      </c>
      <c r="L1432" s="11"/>
    </row>
    <row r="1433" customFormat="false" ht="15" hidden="false" customHeight="false" outlineLevel="0" collapsed="false">
      <c r="A1433" s="10"/>
      <c r="B1433" s="11"/>
      <c r="C1433" s="11"/>
      <c r="D1433" s="11"/>
      <c r="E1433" s="11"/>
      <c r="F1433" s="11"/>
      <c r="G1433" s="11"/>
      <c r="H1433" s="15" t="str">
        <f aca="false">IF(OR(D1433="",F1433=""),"",IF(F1433&lt;=1,D1433,D1433*(1+F1433/30)))</f>
        <v/>
      </c>
      <c r="I1433" s="15" t="str">
        <f aca="false">IF(OR(D1433="",F1433="",G1433=""),"",IF(F1433+MAX(0,10-G1433)&lt;=1,D1433,D1433*(1+(F1433+MAX(0,10-G1433))/30)))</f>
        <v/>
      </c>
      <c r="J1433" s="16" t="str">
        <f aca="false">IF(A1433="","",IF(AND(C1433="yes",N(G1433)&gt;=7),N(E1433),0))</f>
        <v/>
      </c>
      <c r="K1433" s="17" t="str">
        <f aca="false">IF(A1433="","",A1433-WEEKDAY(A1433,3))</f>
        <v/>
      </c>
      <c r="L1433" s="11"/>
    </row>
    <row r="1434" customFormat="false" ht="15" hidden="false" customHeight="false" outlineLevel="0" collapsed="false">
      <c r="A1434" s="10"/>
      <c r="B1434" s="11"/>
      <c r="C1434" s="11"/>
      <c r="D1434" s="11"/>
      <c r="E1434" s="11"/>
      <c r="F1434" s="11"/>
      <c r="G1434" s="11"/>
      <c r="H1434" s="15" t="str">
        <f aca="false">IF(OR(D1434="",F1434=""),"",IF(F1434&lt;=1,D1434,D1434*(1+F1434/30)))</f>
        <v/>
      </c>
      <c r="I1434" s="15" t="str">
        <f aca="false">IF(OR(D1434="",F1434="",G1434=""),"",IF(F1434+MAX(0,10-G1434)&lt;=1,D1434,D1434*(1+(F1434+MAX(0,10-G1434))/30)))</f>
        <v/>
      </c>
      <c r="J1434" s="16" t="str">
        <f aca="false">IF(A1434="","",IF(AND(C1434="yes",N(G1434)&gt;=7),N(E1434),0))</f>
        <v/>
      </c>
      <c r="K1434" s="17" t="str">
        <f aca="false">IF(A1434="","",A1434-WEEKDAY(A1434,3))</f>
        <v/>
      </c>
      <c r="L1434" s="11"/>
    </row>
    <row r="1435" customFormat="false" ht="15" hidden="false" customHeight="false" outlineLevel="0" collapsed="false">
      <c r="A1435" s="10"/>
      <c r="B1435" s="11"/>
      <c r="C1435" s="11"/>
      <c r="D1435" s="11"/>
      <c r="E1435" s="11"/>
      <c r="F1435" s="11"/>
      <c r="G1435" s="11"/>
      <c r="H1435" s="15" t="str">
        <f aca="false">IF(OR(D1435="",F1435=""),"",IF(F1435&lt;=1,D1435,D1435*(1+F1435/30)))</f>
        <v/>
      </c>
      <c r="I1435" s="15" t="str">
        <f aca="false">IF(OR(D1435="",F1435="",G1435=""),"",IF(F1435+MAX(0,10-G1435)&lt;=1,D1435,D1435*(1+(F1435+MAX(0,10-G1435))/30)))</f>
        <v/>
      </c>
      <c r="J1435" s="16" t="str">
        <f aca="false">IF(A1435="","",IF(AND(C1435="yes",N(G1435)&gt;=7),N(E1435),0))</f>
        <v/>
      </c>
      <c r="K1435" s="17" t="str">
        <f aca="false">IF(A1435="","",A1435-WEEKDAY(A1435,3))</f>
        <v/>
      </c>
      <c r="L1435" s="11"/>
    </row>
    <row r="1436" customFormat="false" ht="15" hidden="false" customHeight="false" outlineLevel="0" collapsed="false">
      <c r="A1436" s="10"/>
      <c r="B1436" s="11"/>
      <c r="C1436" s="11"/>
      <c r="D1436" s="11"/>
      <c r="E1436" s="11"/>
      <c r="F1436" s="11"/>
      <c r="G1436" s="11"/>
      <c r="H1436" s="15" t="str">
        <f aca="false">IF(OR(D1436="",F1436=""),"",IF(F1436&lt;=1,D1436,D1436*(1+F1436/30)))</f>
        <v/>
      </c>
      <c r="I1436" s="15" t="str">
        <f aca="false">IF(OR(D1436="",F1436="",G1436=""),"",IF(F1436+MAX(0,10-G1436)&lt;=1,D1436,D1436*(1+(F1436+MAX(0,10-G1436))/30)))</f>
        <v/>
      </c>
      <c r="J1436" s="16" t="str">
        <f aca="false">IF(A1436="","",IF(AND(C1436="yes",N(G1436)&gt;=7),N(E1436),0))</f>
        <v/>
      </c>
      <c r="K1436" s="17" t="str">
        <f aca="false">IF(A1436="","",A1436-WEEKDAY(A1436,3))</f>
        <v/>
      </c>
      <c r="L1436" s="11"/>
    </row>
    <row r="1437" customFormat="false" ht="15" hidden="false" customHeight="false" outlineLevel="0" collapsed="false">
      <c r="A1437" s="10"/>
      <c r="B1437" s="11"/>
      <c r="C1437" s="11"/>
      <c r="D1437" s="11"/>
      <c r="E1437" s="11"/>
      <c r="F1437" s="11"/>
      <c r="G1437" s="11"/>
      <c r="H1437" s="15" t="str">
        <f aca="false">IF(OR(D1437="",F1437=""),"",IF(F1437&lt;=1,D1437,D1437*(1+F1437/30)))</f>
        <v/>
      </c>
      <c r="I1437" s="15" t="str">
        <f aca="false">IF(OR(D1437="",F1437="",G1437=""),"",IF(F1437+MAX(0,10-G1437)&lt;=1,D1437,D1437*(1+(F1437+MAX(0,10-G1437))/30)))</f>
        <v/>
      </c>
      <c r="J1437" s="16" t="str">
        <f aca="false">IF(A1437="","",IF(AND(C1437="yes",N(G1437)&gt;=7),N(E1437),0))</f>
        <v/>
      </c>
      <c r="K1437" s="17" t="str">
        <f aca="false">IF(A1437="","",A1437-WEEKDAY(A1437,3))</f>
        <v/>
      </c>
      <c r="L1437" s="11"/>
    </row>
    <row r="1438" customFormat="false" ht="15" hidden="false" customHeight="false" outlineLevel="0" collapsed="false">
      <c r="A1438" s="10"/>
      <c r="B1438" s="11"/>
      <c r="C1438" s="11"/>
      <c r="D1438" s="11"/>
      <c r="E1438" s="11"/>
      <c r="F1438" s="11"/>
      <c r="G1438" s="11"/>
      <c r="H1438" s="15" t="str">
        <f aca="false">IF(OR(D1438="",F1438=""),"",IF(F1438&lt;=1,D1438,D1438*(1+F1438/30)))</f>
        <v/>
      </c>
      <c r="I1438" s="15" t="str">
        <f aca="false">IF(OR(D1438="",F1438="",G1438=""),"",IF(F1438+MAX(0,10-G1438)&lt;=1,D1438,D1438*(1+(F1438+MAX(0,10-G1438))/30)))</f>
        <v/>
      </c>
      <c r="J1438" s="16" t="str">
        <f aca="false">IF(A1438="","",IF(AND(C1438="yes",N(G1438)&gt;=7),N(E1438),0))</f>
        <v/>
      </c>
      <c r="K1438" s="17" t="str">
        <f aca="false">IF(A1438="","",A1438-WEEKDAY(A1438,3))</f>
        <v/>
      </c>
      <c r="L1438" s="11"/>
    </row>
    <row r="1439" customFormat="false" ht="15" hidden="false" customHeight="false" outlineLevel="0" collapsed="false">
      <c r="A1439" s="10"/>
      <c r="B1439" s="11"/>
      <c r="C1439" s="11"/>
      <c r="D1439" s="11"/>
      <c r="E1439" s="11"/>
      <c r="F1439" s="11"/>
      <c r="G1439" s="11"/>
      <c r="H1439" s="15" t="str">
        <f aca="false">IF(OR(D1439="",F1439=""),"",IF(F1439&lt;=1,D1439,D1439*(1+F1439/30)))</f>
        <v/>
      </c>
      <c r="I1439" s="15" t="str">
        <f aca="false">IF(OR(D1439="",F1439="",G1439=""),"",IF(F1439+MAX(0,10-G1439)&lt;=1,D1439,D1439*(1+(F1439+MAX(0,10-G1439))/30)))</f>
        <v/>
      </c>
      <c r="J1439" s="16" t="str">
        <f aca="false">IF(A1439="","",IF(AND(C1439="yes",N(G1439)&gt;=7),N(E1439),0))</f>
        <v/>
      </c>
      <c r="K1439" s="17" t="str">
        <f aca="false">IF(A1439="","",A1439-WEEKDAY(A1439,3))</f>
        <v/>
      </c>
      <c r="L1439" s="11"/>
    </row>
    <row r="1440" customFormat="false" ht="15" hidden="false" customHeight="false" outlineLevel="0" collapsed="false">
      <c r="A1440" s="10"/>
      <c r="B1440" s="11"/>
      <c r="C1440" s="11"/>
      <c r="D1440" s="11"/>
      <c r="E1440" s="11"/>
      <c r="F1440" s="11"/>
      <c r="G1440" s="11"/>
      <c r="H1440" s="15" t="str">
        <f aca="false">IF(OR(D1440="",F1440=""),"",IF(F1440&lt;=1,D1440,D1440*(1+F1440/30)))</f>
        <v/>
      </c>
      <c r="I1440" s="15" t="str">
        <f aca="false">IF(OR(D1440="",F1440="",G1440=""),"",IF(F1440+MAX(0,10-G1440)&lt;=1,D1440,D1440*(1+(F1440+MAX(0,10-G1440))/30)))</f>
        <v/>
      </c>
      <c r="J1440" s="16" t="str">
        <f aca="false">IF(A1440="","",IF(AND(C1440="yes",N(G1440)&gt;=7),N(E1440),0))</f>
        <v/>
      </c>
      <c r="K1440" s="17" t="str">
        <f aca="false">IF(A1440="","",A1440-WEEKDAY(A1440,3))</f>
        <v/>
      </c>
      <c r="L1440" s="11"/>
    </row>
    <row r="1441" customFormat="false" ht="15" hidden="false" customHeight="false" outlineLevel="0" collapsed="false">
      <c r="A1441" s="10"/>
      <c r="B1441" s="11"/>
      <c r="C1441" s="11"/>
      <c r="D1441" s="11"/>
      <c r="E1441" s="11"/>
      <c r="F1441" s="11"/>
      <c r="G1441" s="11"/>
      <c r="H1441" s="15" t="str">
        <f aca="false">IF(OR(D1441="",F1441=""),"",IF(F1441&lt;=1,D1441,D1441*(1+F1441/30)))</f>
        <v/>
      </c>
      <c r="I1441" s="15" t="str">
        <f aca="false">IF(OR(D1441="",F1441="",G1441=""),"",IF(F1441+MAX(0,10-G1441)&lt;=1,D1441,D1441*(1+(F1441+MAX(0,10-G1441))/30)))</f>
        <v/>
      </c>
      <c r="J1441" s="16" t="str">
        <f aca="false">IF(A1441="","",IF(AND(C1441="yes",N(G1441)&gt;=7),N(E1441),0))</f>
        <v/>
      </c>
      <c r="K1441" s="17" t="str">
        <f aca="false">IF(A1441="","",A1441-WEEKDAY(A1441,3))</f>
        <v/>
      </c>
      <c r="L1441" s="11"/>
    </row>
    <row r="1442" customFormat="false" ht="15" hidden="false" customHeight="false" outlineLevel="0" collapsed="false">
      <c r="A1442" s="10"/>
      <c r="B1442" s="11"/>
      <c r="C1442" s="11"/>
      <c r="D1442" s="11"/>
      <c r="E1442" s="11"/>
      <c r="F1442" s="11"/>
      <c r="G1442" s="11"/>
      <c r="H1442" s="15" t="str">
        <f aca="false">IF(OR(D1442="",F1442=""),"",IF(F1442&lt;=1,D1442,D1442*(1+F1442/30)))</f>
        <v/>
      </c>
      <c r="I1442" s="15" t="str">
        <f aca="false">IF(OR(D1442="",F1442="",G1442=""),"",IF(F1442+MAX(0,10-G1442)&lt;=1,D1442,D1442*(1+(F1442+MAX(0,10-G1442))/30)))</f>
        <v/>
      </c>
      <c r="J1442" s="16" t="str">
        <f aca="false">IF(A1442="","",IF(AND(C1442="yes",N(G1442)&gt;=7),N(E1442),0))</f>
        <v/>
      </c>
      <c r="K1442" s="17" t="str">
        <f aca="false">IF(A1442="","",A1442-WEEKDAY(A1442,3))</f>
        <v/>
      </c>
      <c r="L1442" s="11"/>
    </row>
    <row r="1443" customFormat="false" ht="15" hidden="false" customHeight="false" outlineLevel="0" collapsed="false">
      <c r="A1443" s="10"/>
      <c r="B1443" s="11"/>
      <c r="C1443" s="11"/>
      <c r="D1443" s="11"/>
      <c r="E1443" s="11"/>
      <c r="F1443" s="11"/>
      <c r="G1443" s="11"/>
      <c r="H1443" s="15" t="str">
        <f aca="false">IF(OR(D1443="",F1443=""),"",IF(F1443&lt;=1,D1443,D1443*(1+F1443/30)))</f>
        <v/>
      </c>
      <c r="I1443" s="15" t="str">
        <f aca="false">IF(OR(D1443="",F1443="",G1443=""),"",IF(F1443+MAX(0,10-G1443)&lt;=1,D1443,D1443*(1+(F1443+MAX(0,10-G1443))/30)))</f>
        <v/>
      </c>
      <c r="J1443" s="16" t="str">
        <f aca="false">IF(A1443="","",IF(AND(C1443="yes",N(G1443)&gt;=7),N(E1443),0))</f>
        <v/>
      </c>
      <c r="K1443" s="17" t="str">
        <f aca="false">IF(A1443="","",A1443-WEEKDAY(A1443,3))</f>
        <v/>
      </c>
      <c r="L1443" s="11"/>
    </row>
    <row r="1444" customFormat="false" ht="15" hidden="false" customHeight="false" outlineLevel="0" collapsed="false">
      <c r="A1444" s="10"/>
      <c r="B1444" s="11"/>
      <c r="C1444" s="11"/>
      <c r="D1444" s="11"/>
      <c r="E1444" s="11"/>
      <c r="F1444" s="11"/>
      <c r="G1444" s="11"/>
      <c r="H1444" s="15" t="str">
        <f aca="false">IF(OR(D1444="",F1444=""),"",IF(F1444&lt;=1,D1444,D1444*(1+F1444/30)))</f>
        <v/>
      </c>
      <c r="I1444" s="15" t="str">
        <f aca="false">IF(OR(D1444="",F1444="",G1444=""),"",IF(F1444+MAX(0,10-G1444)&lt;=1,D1444,D1444*(1+(F1444+MAX(0,10-G1444))/30)))</f>
        <v/>
      </c>
      <c r="J1444" s="16" t="str">
        <f aca="false">IF(A1444="","",IF(AND(C1444="yes",N(G1444)&gt;=7),N(E1444),0))</f>
        <v/>
      </c>
      <c r="K1444" s="17" t="str">
        <f aca="false">IF(A1444="","",A1444-WEEKDAY(A1444,3))</f>
        <v/>
      </c>
      <c r="L1444" s="11"/>
    </row>
    <row r="1445" customFormat="false" ht="15" hidden="false" customHeight="false" outlineLevel="0" collapsed="false">
      <c r="A1445" s="10"/>
      <c r="B1445" s="11"/>
      <c r="C1445" s="11"/>
      <c r="D1445" s="11"/>
      <c r="E1445" s="11"/>
      <c r="F1445" s="11"/>
      <c r="G1445" s="11"/>
      <c r="H1445" s="15" t="str">
        <f aca="false">IF(OR(D1445="",F1445=""),"",IF(F1445&lt;=1,D1445,D1445*(1+F1445/30)))</f>
        <v/>
      </c>
      <c r="I1445" s="15" t="str">
        <f aca="false">IF(OR(D1445="",F1445="",G1445=""),"",IF(F1445+MAX(0,10-G1445)&lt;=1,D1445,D1445*(1+(F1445+MAX(0,10-G1445))/30)))</f>
        <v/>
      </c>
      <c r="J1445" s="16" t="str">
        <f aca="false">IF(A1445="","",IF(AND(C1445="yes",N(G1445)&gt;=7),N(E1445),0))</f>
        <v/>
      </c>
      <c r="K1445" s="17" t="str">
        <f aca="false">IF(A1445="","",A1445-WEEKDAY(A1445,3))</f>
        <v/>
      </c>
      <c r="L1445" s="11"/>
    </row>
    <row r="1446" customFormat="false" ht="15" hidden="false" customHeight="false" outlineLevel="0" collapsed="false">
      <c r="A1446" s="10"/>
      <c r="B1446" s="11"/>
      <c r="C1446" s="11"/>
      <c r="D1446" s="11"/>
      <c r="E1446" s="11"/>
      <c r="F1446" s="11"/>
      <c r="G1446" s="11"/>
      <c r="H1446" s="15" t="str">
        <f aca="false">IF(OR(D1446="",F1446=""),"",IF(F1446&lt;=1,D1446,D1446*(1+F1446/30)))</f>
        <v/>
      </c>
      <c r="I1446" s="15" t="str">
        <f aca="false">IF(OR(D1446="",F1446="",G1446=""),"",IF(F1446+MAX(0,10-G1446)&lt;=1,D1446,D1446*(1+(F1446+MAX(0,10-G1446))/30)))</f>
        <v/>
      </c>
      <c r="J1446" s="16" t="str">
        <f aca="false">IF(A1446="","",IF(AND(C1446="yes",N(G1446)&gt;=7),N(E1446),0))</f>
        <v/>
      </c>
      <c r="K1446" s="17" t="str">
        <f aca="false">IF(A1446="","",A1446-WEEKDAY(A1446,3))</f>
        <v/>
      </c>
      <c r="L1446" s="11"/>
    </row>
    <row r="1447" customFormat="false" ht="15" hidden="false" customHeight="false" outlineLevel="0" collapsed="false">
      <c r="A1447" s="10"/>
      <c r="B1447" s="11"/>
      <c r="C1447" s="11"/>
      <c r="D1447" s="11"/>
      <c r="E1447" s="11"/>
      <c r="F1447" s="11"/>
      <c r="G1447" s="11"/>
      <c r="H1447" s="15" t="str">
        <f aca="false">IF(OR(D1447="",F1447=""),"",IF(F1447&lt;=1,D1447,D1447*(1+F1447/30)))</f>
        <v/>
      </c>
      <c r="I1447" s="15" t="str">
        <f aca="false">IF(OR(D1447="",F1447="",G1447=""),"",IF(F1447+MAX(0,10-G1447)&lt;=1,D1447,D1447*(1+(F1447+MAX(0,10-G1447))/30)))</f>
        <v/>
      </c>
      <c r="J1447" s="16" t="str">
        <f aca="false">IF(A1447="","",IF(AND(C1447="yes",N(G1447)&gt;=7),N(E1447),0))</f>
        <v/>
      </c>
      <c r="K1447" s="17" t="str">
        <f aca="false">IF(A1447="","",A1447-WEEKDAY(A1447,3))</f>
        <v/>
      </c>
      <c r="L1447" s="11"/>
    </row>
    <row r="1448" customFormat="false" ht="15" hidden="false" customHeight="false" outlineLevel="0" collapsed="false">
      <c r="A1448" s="10"/>
      <c r="B1448" s="11"/>
      <c r="C1448" s="11"/>
      <c r="D1448" s="11"/>
      <c r="E1448" s="11"/>
      <c r="F1448" s="11"/>
      <c r="G1448" s="11"/>
      <c r="H1448" s="15" t="str">
        <f aca="false">IF(OR(D1448="",F1448=""),"",IF(F1448&lt;=1,D1448,D1448*(1+F1448/30)))</f>
        <v/>
      </c>
      <c r="I1448" s="15" t="str">
        <f aca="false">IF(OR(D1448="",F1448="",G1448=""),"",IF(F1448+MAX(0,10-G1448)&lt;=1,D1448,D1448*(1+(F1448+MAX(0,10-G1448))/30)))</f>
        <v/>
      </c>
      <c r="J1448" s="16" t="str">
        <f aca="false">IF(A1448="","",IF(AND(C1448="yes",N(G1448)&gt;=7),N(E1448),0))</f>
        <v/>
      </c>
      <c r="K1448" s="17" t="str">
        <f aca="false">IF(A1448="","",A1448-WEEKDAY(A1448,3))</f>
        <v/>
      </c>
      <c r="L1448" s="11"/>
    </row>
    <row r="1449" customFormat="false" ht="15" hidden="false" customHeight="false" outlineLevel="0" collapsed="false">
      <c r="A1449" s="10"/>
      <c r="B1449" s="11"/>
      <c r="C1449" s="11"/>
      <c r="D1449" s="11"/>
      <c r="E1449" s="11"/>
      <c r="F1449" s="11"/>
      <c r="G1449" s="11"/>
      <c r="H1449" s="15" t="str">
        <f aca="false">IF(OR(D1449="",F1449=""),"",IF(F1449&lt;=1,D1449,D1449*(1+F1449/30)))</f>
        <v/>
      </c>
      <c r="I1449" s="15" t="str">
        <f aca="false">IF(OR(D1449="",F1449="",G1449=""),"",IF(F1449+MAX(0,10-G1449)&lt;=1,D1449,D1449*(1+(F1449+MAX(0,10-G1449))/30)))</f>
        <v/>
      </c>
      <c r="J1449" s="16" t="str">
        <f aca="false">IF(A1449="","",IF(AND(C1449="yes",N(G1449)&gt;=7),N(E1449),0))</f>
        <v/>
      </c>
      <c r="K1449" s="17" t="str">
        <f aca="false">IF(A1449="","",A1449-WEEKDAY(A1449,3))</f>
        <v/>
      </c>
      <c r="L1449" s="11"/>
    </row>
    <row r="1450" customFormat="false" ht="15" hidden="false" customHeight="false" outlineLevel="0" collapsed="false">
      <c r="A1450" s="10"/>
      <c r="B1450" s="11"/>
      <c r="C1450" s="11"/>
      <c r="D1450" s="11"/>
      <c r="E1450" s="11"/>
      <c r="F1450" s="11"/>
      <c r="G1450" s="11"/>
      <c r="H1450" s="15" t="str">
        <f aca="false">IF(OR(D1450="",F1450=""),"",IF(F1450&lt;=1,D1450,D1450*(1+F1450/30)))</f>
        <v/>
      </c>
      <c r="I1450" s="15" t="str">
        <f aca="false">IF(OR(D1450="",F1450="",G1450=""),"",IF(F1450+MAX(0,10-G1450)&lt;=1,D1450,D1450*(1+(F1450+MAX(0,10-G1450))/30)))</f>
        <v/>
      </c>
      <c r="J1450" s="16" t="str">
        <f aca="false">IF(A1450="","",IF(AND(C1450="yes",N(G1450)&gt;=7),N(E1450),0))</f>
        <v/>
      </c>
      <c r="K1450" s="17" t="str">
        <f aca="false">IF(A1450="","",A1450-WEEKDAY(A1450,3))</f>
        <v/>
      </c>
      <c r="L1450" s="11"/>
    </row>
    <row r="1451" customFormat="false" ht="15" hidden="false" customHeight="false" outlineLevel="0" collapsed="false">
      <c r="A1451" s="10"/>
      <c r="B1451" s="11"/>
      <c r="C1451" s="11"/>
      <c r="D1451" s="11"/>
      <c r="E1451" s="11"/>
      <c r="F1451" s="11"/>
      <c r="G1451" s="11"/>
      <c r="H1451" s="15" t="str">
        <f aca="false">IF(OR(D1451="",F1451=""),"",IF(F1451&lt;=1,D1451,D1451*(1+F1451/30)))</f>
        <v/>
      </c>
      <c r="I1451" s="15" t="str">
        <f aca="false">IF(OR(D1451="",F1451="",G1451=""),"",IF(F1451+MAX(0,10-G1451)&lt;=1,D1451,D1451*(1+(F1451+MAX(0,10-G1451))/30)))</f>
        <v/>
      </c>
      <c r="J1451" s="16" t="str">
        <f aca="false">IF(A1451="","",IF(AND(C1451="yes",N(G1451)&gt;=7),N(E1451),0))</f>
        <v/>
      </c>
      <c r="K1451" s="17" t="str">
        <f aca="false">IF(A1451="","",A1451-WEEKDAY(A1451,3))</f>
        <v/>
      </c>
      <c r="L1451" s="11"/>
    </row>
    <row r="1452" customFormat="false" ht="15" hidden="false" customHeight="false" outlineLevel="0" collapsed="false">
      <c r="A1452" s="10"/>
      <c r="B1452" s="11"/>
      <c r="C1452" s="11"/>
      <c r="D1452" s="11"/>
      <c r="E1452" s="11"/>
      <c r="F1452" s="11"/>
      <c r="G1452" s="11"/>
      <c r="H1452" s="15" t="str">
        <f aca="false">IF(OR(D1452="",F1452=""),"",IF(F1452&lt;=1,D1452,D1452*(1+F1452/30)))</f>
        <v/>
      </c>
      <c r="I1452" s="15" t="str">
        <f aca="false">IF(OR(D1452="",F1452="",G1452=""),"",IF(F1452+MAX(0,10-G1452)&lt;=1,D1452,D1452*(1+(F1452+MAX(0,10-G1452))/30)))</f>
        <v/>
      </c>
      <c r="J1452" s="16" t="str">
        <f aca="false">IF(A1452="","",IF(AND(C1452="yes",N(G1452)&gt;=7),N(E1452),0))</f>
        <v/>
      </c>
      <c r="K1452" s="17" t="str">
        <f aca="false">IF(A1452="","",A1452-WEEKDAY(A1452,3))</f>
        <v/>
      </c>
      <c r="L1452" s="11"/>
    </row>
    <row r="1453" customFormat="false" ht="15" hidden="false" customHeight="false" outlineLevel="0" collapsed="false">
      <c r="A1453" s="10"/>
      <c r="B1453" s="11"/>
      <c r="C1453" s="11"/>
      <c r="D1453" s="11"/>
      <c r="E1453" s="11"/>
      <c r="F1453" s="11"/>
      <c r="G1453" s="11"/>
      <c r="H1453" s="15" t="str">
        <f aca="false">IF(OR(D1453="",F1453=""),"",IF(F1453&lt;=1,D1453,D1453*(1+F1453/30)))</f>
        <v/>
      </c>
      <c r="I1453" s="15" t="str">
        <f aca="false">IF(OR(D1453="",F1453="",G1453=""),"",IF(F1453+MAX(0,10-G1453)&lt;=1,D1453,D1453*(1+(F1453+MAX(0,10-G1453))/30)))</f>
        <v/>
      </c>
      <c r="J1453" s="16" t="str">
        <f aca="false">IF(A1453="","",IF(AND(C1453="yes",N(G1453)&gt;=7),N(E1453),0))</f>
        <v/>
      </c>
      <c r="K1453" s="17" t="str">
        <f aca="false">IF(A1453="","",A1453-WEEKDAY(A1453,3))</f>
        <v/>
      </c>
      <c r="L1453" s="11"/>
    </row>
    <row r="1454" customFormat="false" ht="15" hidden="false" customHeight="false" outlineLevel="0" collapsed="false">
      <c r="A1454" s="10"/>
      <c r="B1454" s="11"/>
      <c r="C1454" s="11"/>
      <c r="D1454" s="11"/>
      <c r="E1454" s="11"/>
      <c r="F1454" s="11"/>
      <c r="G1454" s="11"/>
      <c r="H1454" s="15" t="str">
        <f aca="false">IF(OR(D1454="",F1454=""),"",IF(F1454&lt;=1,D1454,D1454*(1+F1454/30)))</f>
        <v/>
      </c>
      <c r="I1454" s="15" t="str">
        <f aca="false">IF(OR(D1454="",F1454="",G1454=""),"",IF(F1454+MAX(0,10-G1454)&lt;=1,D1454,D1454*(1+(F1454+MAX(0,10-G1454))/30)))</f>
        <v/>
      </c>
      <c r="J1454" s="16" t="str">
        <f aca="false">IF(A1454="","",IF(AND(C1454="yes",N(G1454)&gt;=7),N(E1454),0))</f>
        <v/>
      </c>
      <c r="K1454" s="17" t="str">
        <f aca="false">IF(A1454="","",A1454-WEEKDAY(A1454,3))</f>
        <v/>
      </c>
      <c r="L1454" s="11"/>
    </row>
    <row r="1455" customFormat="false" ht="15" hidden="false" customHeight="false" outlineLevel="0" collapsed="false">
      <c r="A1455" s="10"/>
      <c r="B1455" s="11"/>
      <c r="C1455" s="11"/>
      <c r="D1455" s="11"/>
      <c r="E1455" s="11"/>
      <c r="F1455" s="11"/>
      <c r="G1455" s="11"/>
      <c r="H1455" s="15" t="str">
        <f aca="false">IF(OR(D1455="",F1455=""),"",IF(F1455&lt;=1,D1455,D1455*(1+F1455/30)))</f>
        <v/>
      </c>
      <c r="I1455" s="15" t="str">
        <f aca="false">IF(OR(D1455="",F1455="",G1455=""),"",IF(F1455+MAX(0,10-G1455)&lt;=1,D1455,D1455*(1+(F1455+MAX(0,10-G1455))/30)))</f>
        <v/>
      </c>
      <c r="J1455" s="16" t="str">
        <f aca="false">IF(A1455="","",IF(AND(C1455="yes",N(G1455)&gt;=7),N(E1455),0))</f>
        <v/>
      </c>
      <c r="K1455" s="17" t="str">
        <f aca="false">IF(A1455="","",A1455-WEEKDAY(A1455,3))</f>
        <v/>
      </c>
      <c r="L1455" s="11"/>
    </row>
    <row r="1456" customFormat="false" ht="15" hidden="false" customHeight="false" outlineLevel="0" collapsed="false">
      <c r="A1456" s="10"/>
      <c r="B1456" s="11"/>
      <c r="C1456" s="11"/>
      <c r="D1456" s="11"/>
      <c r="E1456" s="11"/>
      <c r="F1456" s="11"/>
      <c r="G1456" s="11"/>
      <c r="H1456" s="15" t="str">
        <f aca="false">IF(OR(D1456="",F1456=""),"",IF(F1456&lt;=1,D1456,D1456*(1+F1456/30)))</f>
        <v/>
      </c>
      <c r="I1456" s="15" t="str">
        <f aca="false">IF(OR(D1456="",F1456="",G1456=""),"",IF(F1456+MAX(0,10-G1456)&lt;=1,D1456,D1456*(1+(F1456+MAX(0,10-G1456))/30)))</f>
        <v/>
      </c>
      <c r="J1456" s="16" t="str">
        <f aca="false">IF(A1456="","",IF(AND(C1456="yes",N(G1456)&gt;=7),N(E1456),0))</f>
        <v/>
      </c>
      <c r="K1456" s="17" t="str">
        <f aca="false">IF(A1456="","",A1456-WEEKDAY(A1456,3))</f>
        <v/>
      </c>
      <c r="L1456" s="11"/>
    </row>
    <row r="1457" customFormat="false" ht="15" hidden="false" customHeight="false" outlineLevel="0" collapsed="false">
      <c r="A1457" s="10"/>
      <c r="B1457" s="11"/>
      <c r="C1457" s="11"/>
      <c r="D1457" s="11"/>
      <c r="E1457" s="11"/>
      <c r="F1457" s="11"/>
      <c r="G1457" s="11"/>
      <c r="H1457" s="15" t="str">
        <f aca="false">IF(OR(D1457="",F1457=""),"",IF(F1457&lt;=1,D1457,D1457*(1+F1457/30)))</f>
        <v/>
      </c>
      <c r="I1457" s="15" t="str">
        <f aca="false">IF(OR(D1457="",F1457="",G1457=""),"",IF(F1457+MAX(0,10-G1457)&lt;=1,D1457,D1457*(1+(F1457+MAX(0,10-G1457))/30)))</f>
        <v/>
      </c>
      <c r="J1457" s="16" t="str">
        <f aca="false">IF(A1457="","",IF(AND(C1457="yes",N(G1457)&gt;=7),N(E1457),0))</f>
        <v/>
      </c>
      <c r="K1457" s="17" t="str">
        <f aca="false">IF(A1457="","",A1457-WEEKDAY(A1457,3))</f>
        <v/>
      </c>
      <c r="L1457" s="11"/>
    </row>
    <row r="1458" customFormat="false" ht="15" hidden="false" customHeight="false" outlineLevel="0" collapsed="false">
      <c r="A1458" s="10"/>
      <c r="B1458" s="11"/>
      <c r="C1458" s="11"/>
      <c r="D1458" s="11"/>
      <c r="E1458" s="11"/>
      <c r="F1458" s="11"/>
      <c r="G1458" s="11"/>
      <c r="H1458" s="15" t="str">
        <f aca="false">IF(OR(D1458="",F1458=""),"",IF(F1458&lt;=1,D1458,D1458*(1+F1458/30)))</f>
        <v/>
      </c>
      <c r="I1458" s="15" t="str">
        <f aca="false">IF(OR(D1458="",F1458="",G1458=""),"",IF(F1458+MAX(0,10-G1458)&lt;=1,D1458,D1458*(1+(F1458+MAX(0,10-G1458))/30)))</f>
        <v/>
      </c>
      <c r="J1458" s="16" t="str">
        <f aca="false">IF(A1458="","",IF(AND(C1458="yes",N(G1458)&gt;=7),N(E1458),0))</f>
        <v/>
      </c>
      <c r="K1458" s="17" t="str">
        <f aca="false">IF(A1458="","",A1458-WEEKDAY(A1458,3))</f>
        <v/>
      </c>
      <c r="L1458" s="11"/>
    </row>
    <row r="1459" customFormat="false" ht="15" hidden="false" customHeight="false" outlineLevel="0" collapsed="false">
      <c r="A1459" s="10"/>
      <c r="B1459" s="11"/>
      <c r="C1459" s="11"/>
      <c r="D1459" s="11"/>
      <c r="E1459" s="11"/>
      <c r="F1459" s="11"/>
      <c r="G1459" s="11"/>
      <c r="H1459" s="15" t="str">
        <f aca="false">IF(OR(D1459="",F1459=""),"",IF(F1459&lt;=1,D1459,D1459*(1+F1459/30)))</f>
        <v/>
      </c>
      <c r="I1459" s="15" t="str">
        <f aca="false">IF(OR(D1459="",F1459="",G1459=""),"",IF(F1459+MAX(0,10-G1459)&lt;=1,D1459,D1459*(1+(F1459+MAX(0,10-G1459))/30)))</f>
        <v/>
      </c>
      <c r="J1459" s="16" t="str">
        <f aca="false">IF(A1459="","",IF(AND(C1459="yes",N(G1459)&gt;=7),N(E1459),0))</f>
        <v/>
      </c>
      <c r="K1459" s="17" t="str">
        <f aca="false">IF(A1459="","",A1459-WEEKDAY(A1459,3))</f>
        <v/>
      </c>
      <c r="L1459" s="11"/>
    </row>
    <row r="1460" customFormat="false" ht="15" hidden="false" customHeight="false" outlineLevel="0" collapsed="false">
      <c r="A1460" s="10"/>
      <c r="B1460" s="11"/>
      <c r="C1460" s="11"/>
      <c r="D1460" s="11"/>
      <c r="E1460" s="11"/>
      <c r="F1460" s="11"/>
      <c r="G1460" s="11"/>
      <c r="H1460" s="15" t="str">
        <f aca="false">IF(OR(D1460="",F1460=""),"",IF(F1460&lt;=1,D1460,D1460*(1+F1460/30)))</f>
        <v/>
      </c>
      <c r="I1460" s="15" t="str">
        <f aca="false">IF(OR(D1460="",F1460="",G1460=""),"",IF(F1460+MAX(0,10-G1460)&lt;=1,D1460,D1460*(1+(F1460+MAX(0,10-G1460))/30)))</f>
        <v/>
      </c>
      <c r="J1460" s="16" t="str">
        <f aca="false">IF(A1460="","",IF(AND(C1460="yes",N(G1460)&gt;=7),N(E1460),0))</f>
        <v/>
      </c>
      <c r="K1460" s="17" t="str">
        <f aca="false">IF(A1460="","",A1460-WEEKDAY(A1460,3))</f>
        <v/>
      </c>
      <c r="L1460" s="11"/>
    </row>
    <row r="1461" customFormat="false" ht="15" hidden="false" customHeight="false" outlineLevel="0" collapsed="false">
      <c r="A1461" s="10"/>
      <c r="B1461" s="11"/>
      <c r="C1461" s="11"/>
      <c r="D1461" s="11"/>
      <c r="E1461" s="11"/>
      <c r="F1461" s="11"/>
      <c r="G1461" s="11"/>
      <c r="H1461" s="15" t="str">
        <f aca="false">IF(OR(D1461="",F1461=""),"",IF(F1461&lt;=1,D1461,D1461*(1+F1461/30)))</f>
        <v/>
      </c>
      <c r="I1461" s="15" t="str">
        <f aca="false">IF(OR(D1461="",F1461="",G1461=""),"",IF(F1461+MAX(0,10-G1461)&lt;=1,D1461,D1461*(1+(F1461+MAX(0,10-G1461))/30)))</f>
        <v/>
      </c>
      <c r="J1461" s="16" t="str">
        <f aca="false">IF(A1461="","",IF(AND(C1461="yes",N(G1461)&gt;=7),N(E1461),0))</f>
        <v/>
      </c>
      <c r="K1461" s="17" t="str">
        <f aca="false">IF(A1461="","",A1461-WEEKDAY(A1461,3))</f>
        <v/>
      </c>
      <c r="L1461" s="11"/>
    </row>
    <row r="1462" customFormat="false" ht="15" hidden="false" customHeight="false" outlineLevel="0" collapsed="false">
      <c r="A1462" s="10"/>
      <c r="B1462" s="11"/>
      <c r="C1462" s="11"/>
      <c r="D1462" s="11"/>
      <c r="E1462" s="11"/>
      <c r="F1462" s="11"/>
      <c r="G1462" s="11"/>
      <c r="H1462" s="15" t="str">
        <f aca="false">IF(OR(D1462="",F1462=""),"",IF(F1462&lt;=1,D1462,D1462*(1+F1462/30)))</f>
        <v/>
      </c>
      <c r="I1462" s="15" t="str">
        <f aca="false">IF(OR(D1462="",F1462="",G1462=""),"",IF(F1462+MAX(0,10-G1462)&lt;=1,D1462,D1462*(1+(F1462+MAX(0,10-G1462))/30)))</f>
        <v/>
      </c>
      <c r="J1462" s="16" t="str">
        <f aca="false">IF(A1462="","",IF(AND(C1462="yes",N(G1462)&gt;=7),N(E1462),0))</f>
        <v/>
      </c>
      <c r="K1462" s="17" t="str">
        <f aca="false">IF(A1462="","",A1462-WEEKDAY(A1462,3))</f>
        <v/>
      </c>
      <c r="L1462" s="11"/>
    </row>
    <row r="1463" customFormat="false" ht="15" hidden="false" customHeight="false" outlineLevel="0" collapsed="false">
      <c r="A1463" s="10"/>
      <c r="B1463" s="11"/>
      <c r="C1463" s="11"/>
      <c r="D1463" s="11"/>
      <c r="E1463" s="11"/>
      <c r="F1463" s="11"/>
      <c r="G1463" s="11"/>
      <c r="H1463" s="15" t="str">
        <f aca="false">IF(OR(D1463="",F1463=""),"",IF(F1463&lt;=1,D1463,D1463*(1+F1463/30)))</f>
        <v/>
      </c>
      <c r="I1463" s="15" t="str">
        <f aca="false">IF(OR(D1463="",F1463="",G1463=""),"",IF(F1463+MAX(0,10-G1463)&lt;=1,D1463,D1463*(1+(F1463+MAX(0,10-G1463))/30)))</f>
        <v/>
      </c>
      <c r="J1463" s="16" t="str">
        <f aca="false">IF(A1463="","",IF(AND(C1463="yes",N(G1463)&gt;=7),N(E1463),0))</f>
        <v/>
      </c>
      <c r="K1463" s="17" t="str">
        <f aca="false">IF(A1463="","",A1463-WEEKDAY(A1463,3))</f>
        <v/>
      </c>
      <c r="L1463" s="11"/>
    </row>
    <row r="1464" customFormat="false" ht="15" hidden="false" customHeight="false" outlineLevel="0" collapsed="false">
      <c r="A1464" s="10"/>
      <c r="B1464" s="11"/>
      <c r="C1464" s="11"/>
      <c r="D1464" s="11"/>
      <c r="E1464" s="11"/>
      <c r="F1464" s="11"/>
      <c r="G1464" s="11"/>
      <c r="H1464" s="15" t="str">
        <f aca="false">IF(OR(D1464="",F1464=""),"",IF(F1464&lt;=1,D1464,D1464*(1+F1464/30)))</f>
        <v/>
      </c>
      <c r="I1464" s="15" t="str">
        <f aca="false">IF(OR(D1464="",F1464="",G1464=""),"",IF(F1464+MAX(0,10-G1464)&lt;=1,D1464,D1464*(1+(F1464+MAX(0,10-G1464))/30)))</f>
        <v/>
      </c>
      <c r="J1464" s="16" t="str">
        <f aca="false">IF(A1464="","",IF(AND(C1464="yes",N(G1464)&gt;=7),N(E1464),0))</f>
        <v/>
      </c>
      <c r="K1464" s="17" t="str">
        <f aca="false">IF(A1464="","",A1464-WEEKDAY(A1464,3))</f>
        <v/>
      </c>
      <c r="L1464" s="11"/>
    </row>
    <row r="1465" customFormat="false" ht="15" hidden="false" customHeight="false" outlineLevel="0" collapsed="false">
      <c r="A1465" s="10"/>
      <c r="B1465" s="11"/>
      <c r="C1465" s="11"/>
      <c r="D1465" s="11"/>
      <c r="E1465" s="11"/>
      <c r="F1465" s="11"/>
      <c r="G1465" s="11"/>
      <c r="H1465" s="15" t="str">
        <f aca="false">IF(OR(D1465="",F1465=""),"",IF(F1465&lt;=1,D1465,D1465*(1+F1465/30)))</f>
        <v/>
      </c>
      <c r="I1465" s="15" t="str">
        <f aca="false">IF(OR(D1465="",F1465="",G1465=""),"",IF(F1465+MAX(0,10-G1465)&lt;=1,D1465,D1465*(1+(F1465+MAX(0,10-G1465))/30)))</f>
        <v/>
      </c>
      <c r="J1465" s="16" t="str">
        <f aca="false">IF(A1465="","",IF(AND(C1465="yes",N(G1465)&gt;=7),N(E1465),0))</f>
        <v/>
      </c>
      <c r="K1465" s="17" t="str">
        <f aca="false">IF(A1465="","",A1465-WEEKDAY(A1465,3))</f>
        <v/>
      </c>
      <c r="L1465" s="11"/>
    </row>
    <row r="1466" customFormat="false" ht="15" hidden="false" customHeight="false" outlineLevel="0" collapsed="false">
      <c r="A1466" s="10"/>
      <c r="B1466" s="11"/>
      <c r="C1466" s="11"/>
      <c r="D1466" s="11"/>
      <c r="E1466" s="11"/>
      <c r="F1466" s="11"/>
      <c r="G1466" s="11"/>
      <c r="H1466" s="15" t="str">
        <f aca="false">IF(OR(D1466="",F1466=""),"",IF(F1466&lt;=1,D1466,D1466*(1+F1466/30)))</f>
        <v/>
      </c>
      <c r="I1466" s="15" t="str">
        <f aca="false">IF(OR(D1466="",F1466="",G1466=""),"",IF(F1466+MAX(0,10-G1466)&lt;=1,D1466,D1466*(1+(F1466+MAX(0,10-G1466))/30)))</f>
        <v/>
      </c>
      <c r="J1466" s="16" t="str">
        <f aca="false">IF(A1466="","",IF(AND(C1466="yes",N(G1466)&gt;=7),N(E1466),0))</f>
        <v/>
      </c>
      <c r="K1466" s="17" t="str">
        <f aca="false">IF(A1466="","",A1466-WEEKDAY(A1466,3))</f>
        <v/>
      </c>
      <c r="L1466" s="11"/>
    </row>
    <row r="1467" customFormat="false" ht="15" hidden="false" customHeight="false" outlineLevel="0" collapsed="false">
      <c r="A1467" s="10"/>
      <c r="B1467" s="11"/>
      <c r="C1467" s="11"/>
      <c r="D1467" s="11"/>
      <c r="E1467" s="11"/>
      <c r="F1467" s="11"/>
      <c r="G1467" s="11"/>
      <c r="H1467" s="15" t="str">
        <f aca="false">IF(OR(D1467="",F1467=""),"",IF(F1467&lt;=1,D1467,D1467*(1+F1467/30)))</f>
        <v/>
      </c>
      <c r="I1467" s="15" t="str">
        <f aca="false">IF(OR(D1467="",F1467="",G1467=""),"",IF(F1467+MAX(0,10-G1467)&lt;=1,D1467,D1467*(1+(F1467+MAX(0,10-G1467))/30)))</f>
        <v/>
      </c>
      <c r="J1467" s="16" t="str">
        <f aca="false">IF(A1467="","",IF(AND(C1467="yes",N(G1467)&gt;=7),N(E1467),0))</f>
        <v/>
      </c>
      <c r="K1467" s="17" t="str">
        <f aca="false">IF(A1467="","",A1467-WEEKDAY(A1467,3))</f>
        <v/>
      </c>
      <c r="L1467" s="11"/>
    </row>
    <row r="1468" customFormat="false" ht="15" hidden="false" customHeight="false" outlineLevel="0" collapsed="false">
      <c r="A1468" s="10"/>
      <c r="B1468" s="11"/>
      <c r="C1468" s="11"/>
      <c r="D1468" s="11"/>
      <c r="E1468" s="11"/>
      <c r="F1468" s="11"/>
      <c r="G1468" s="11"/>
      <c r="H1468" s="15" t="str">
        <f aca="false">IF(OR(D1468="",F1468=""),"",IF(F1468&lt;=1,D1468,D1468*(1+F1468/30)))</f>
        <v/>
      </c>
      <c r="I1468" s="15" t="str">
        <f aca="false">IF(OR(D1468="",F1468="",G1468=""),"",IF(F1468+MAX(0,10-G1468)&lt;=1,D1468,D1468*(1+(F1468+MAX(0,10-G1468))/30)))</f>
        <v/>
      </c>
      <c r="J1468" s="16" t="str">
        <f aca="false">IF(A1468="","",IF(AND(C1468="yes",N(G1468)&gt;=7),N(E1468),0))</f>
        <v/>
      </c>
      <c r="K1468" s="17" t="str">
        <f aca="false">IF(A1468="","",A1468-WEEKDAY(A1468,3))</f>
        <v/>
      </c>
      <c r="L1468" s="11"/>
    </row>
    <row r="1469" customFormat="false" ht="15" hidden="false" customHeight="false" outlineLevel="0" collapsed="false">
      <c r="A1469" s="10"/>
      <c r="B1469" s="11"/>
      <c r="C1469" s="11"/>
      <c r="D1469" s="11"/>
      <c r="E1469" s="11"/>
      <c r="F1469" s="11"/>
      <c r="G1469" s="11"/>
      <c r="H1469" s="15" t="str">
        <f aca="false">IF(OR(D1469="",F1469=""),"",IF(F1469&lt;=1,D1469,D1469*(1+F1469/30)))</f>
        <v/>
      </c>
      <c r="I1469" s="15" t="str">
        <f aca="false">IF(OR(D1469="",F1469="",G1469=""),"",IF(F1469+MAX(0,10-G1469)&lt;=1,D1469,D1469*(1+(F1469+MAX(0,10-G1469))/30)))</f>
        <v/>
      </c>
      <c r="J1469" s="16" t="str">
        <f aca="false">IF(A1469="","",IF(AND(C1469="yes",N(G1469)&gt;=7),N(E1469),0))</f>
        <v/>
      </c>
      <c r="K1469" s="17" t="str">
        <f aca="false">IF(A1469="","",A1469-WEEKDAY(A1469,3))</f>
        <v/>
      </c>
      <c r="L1469" s="11"/>
    </row>
    <row r="1470" customFormat="false" ht="15" hidden="false" customHeight="false" outlineLevel="0" collapsed="false">
      <c r="A1470" s="10"/>
      <c r="B1470" s="11"/>
      <c r="C1470" s="11"/>
      <c r="D1470" s="11"/>
      <c r="E1470" s="11"/>
      <c r="F1470" s="11"/>
      <c r="G1470" s="11"/>
      <c r="H1470" s="15" t="str">
        <f aca="false">IF(OR(D1470="",F1470=""),"",IF(F1470&lt;=1,D1470,D1470*(1+F1470/30)))</f>
        <v/>
      </c>
      <c r="I1470" s="15" t="str">
        <f aca="false">IF(OR(D1470="",F1470="",G1470=""),"",IF(F1470+MAX(0,10-G1470)&lt;=1,D1470,D1470*(1+(F1470+MAX(0,10-G1470))/30)))</f>
        <v/>
      </c>
      <c r="J1470" s="16" t="str">
        <f aca="false">IF(A1470="","",IF(AND(C1470="yes",N(G1470)&gt;=7),N(E1470),0))</f>
        <v/>
      </c>
      <c r="K1470" s="17" t="str">
        <f aca="false">IF(A1470="","",A1470-WEEKDAY(A1470,3))</f>
        <v/>
      </c>
      <c r="L1470" s="11"/>
    </row>
    <row r="1471" customFormat="false" ht="15" hidden="false" customHeight="false" outlineLevel="0" collapsed="false">
      <c r="A1471" s="10"/>
      <c r="B1471" s="11"/>
      <c r="C1471" s="11"/>
      <c r="D1471" s="11"/>
      <c r="E1471" s="11"/>
      <c r="F1471" s="11"/>
      <c r="G1471" s="11"/>
      <c r="H1471" s="15" t="str">
        <f aca="false">IF(OR(D1471="",F1471=""),"",IF(F1471&lt;=1,D1471,D1471*(1+F1471/30)))</f>
        <v/>
      </c>
      <c r="I1471" s="15" t="str">
        <f aca="false">IF(OR(D1471="",F1471="",G1471=""),"",IF(F1471+MAX(0,10-G1471)&lt;=1,D1471,D1471*(1+(F1471+MAX(0,10-G1471))/30)))</f>
        <v/>
      </c>
      <c r="J1471" s="16" t="str">
        <f aca="false">IF(A1471="","",IF(AND(C1471="yes",N(G1471)&gt;=7),N(E1471),0))</f>
        <v/>
      </c>
      <c r="K1471" s="17" t="str">
        <f aca="false">IF(A1471="","",A1471-WEEKDAY(A1471,3))</f>
        <v/>
      </c>
      <c r="L1471" s="11"/>
    </row>
    <row r="1472" customFormat="false" ht="15" hidden="false" customHeight="false" outlineLevel="0" collapsed="false">
      <c r="A1472" s="10"/>
      <c r="B1472" s="11"/>
      <c r="C1472" s="11"/>
      <c r="D1472" s="11"/>
      <c r="E1472" s="11"/>
      <c r="F1472" s="11"/>
      <c r="G1472" s="11"/>
      <c r="H1472" s="15" t="str">
        <f aca="false">IF(OR(D1472="",F1472=""),"",IF(F1472&lt;=1,D1472,D1472*(1+F1472/30)))</f>
        <v/>
      </c>
      <c r="I1472" s="15" t="str">
        <f aca="false">IF(OR(D1472="",F1472="",G1472=""),"",IF(F1472+MAX(0,10-G1472)&lt;=1,D1472,D1472*(1+(F1472+MAX(0,10-G1472))/30)))</f>
        <v/>
      </c>
      <c r="J1472" s="16" t="str">
        <f aca="false">IF(A1472="","",IF(AND(C1472="yes",N(G1472)&gt;=7),N(E1472),0))</f>
        <v/>
      </c>
      <c r="K1472" s="17" t="str">
        <f aca="false">IF(A1472="","",A1472-WEEKDAY(A1472,3))</f>
        <v/>
      </c>
      <c r="L1472" s="11"/>
    </row>
    <row r="1473" customFormat="false" ht="15" hidden="false" customHeight="false" outlineLevel="0" collapsed="false">
      <c r="A1473" s="10"/>
      <c r="B1473" s="11"/>
      <c r="C1473" s="11"/>
      <c r="D1473" s="11"/>
      <c r="E1473" s="11"/>
      <c r="F1473" s="11"/>
      <c r="G1473" s="11"/>
      <c r="H1473" s="15" t="str">
        <f aca="false">IF(OR(D1473="",F1473=""),"",IF(F1473&lt;=1,D1473,D1473*(1+F1473/30)))</f>
        <v/>
      </c>
      <c r="I1473" s="15" t="str">
        <f aca="false">IF(OR(D1473="",F1473="",G1473=""),"",IF(F1473+MAX(0,10-G1473)&lt;=1,D1473,D1473*(1+(F1473+MAX(0,10-G1473))/30)))</f>
        <v/>
      </c>
      <c r="J1473" s="16" t="str">
        <f aca="false">IF(A1473="","",IF(AND(C1473="yes",N(G1473)&gt;=7),N(E1473),0))</f>
        <v/>
      </c>
      <c r="K1473" s="17" t="str">
        <f aca="false">IF(A1473="","",A1473-WEEKDAY(A1473,3))</f>
        <v/>
      </c>
      <c r="L1473" s="11"/>
    </row>
    <row r="1474" customFormat="false" ht="15" hidden="false" customHeight="false" outlineLevel="0" collapsed="false">
      <c r="A1474" s="10"/>
      <c r="B1474" s="11"/>
      <c r="C1474" s="11"/>
      <c r="D1474" s="11"/>
      <c r="E1474" s="11"/>
      <c r="F1474" s="11"/>
      <c r="G1474" s="11"/>
      <c r="H1474" s="15" t="str">
        <f aca="false">IF(OR(D1474="",F1474=""),"",IF(F1474&lt;=1,D1474,D1474*(1+F1474/30)))</f>
        <v/>
      </c>
      <c r="I1474" s="15" t="str">
        <f aca="false">IF(OR(D1474="",F1474="",G1474=""),"",IF(F1474+MAX(0,10-G1474)&lt;=1,D1474,D1474*(1+(F1474+MAX(0,10-G1474))/30)))</f>
        <v/>
      </c>
      <c r="J1474" s="16" t="str">
        <f aca="false">IF(A1474="","",IF(AND(C1474="yes",N(G1474)&gt;=7),N(E1474),0))</f>
        <v/>
      </c>
      <c r="K1474" s="17" t="str">
        <f aca="false">IF(A1474="","",A1474-WEEKDAY(A1474,3))</f>
        <v/>
      </c>
      <c r="L1474" s="11"/>
    </row>
    <row r="1475" customFormat="false" ht="15" hidden="false" customHeight="false" outlineLevel="0" collapsed="false">
      <c r="A1475" s="10"/>
      <c r="B1475" s="11"/>
      <c r="C1475" s="11"/>
      <c r="D1475" s="11"/>
      <c r="E1475" s="11"/>
      <c r="F1475" s="11"/>
      <c r="G1475" s="11"/>
      <c r="H1475" s="15" t="str">
        <f aca="false">IF(OR(D1475="",F1475=""),"",IF(F1475&lt;=1,D1475,D1475*(1+F1475/30)))</f>
        <v/>
      </c>
      <c r="I1475" s="15" t="str">
        <f aca="false">IF(OR(D1475="",F1475="",G1475=""),"",IF(F1475+MAX(0,10-G1475)&lt;=1,D1475,D1475*(1+(F1475+MAX(0,10-G1475))/30)))</f>
        <v/>
      </c>
      <c r="J1475" s="16" t="str">
        <f aca="false">IF(A1475="","",IF(AND(C1475="yes",N(G1475)&gt;=7),N(E1475),0))</f>
        <v/>
      </c>
      <c r="K1475" s="17" t="str">
        <f aca="false">IF(A1475="","",A1475-WEEKDAY(A1475,3))</f>
        <v/>
      </c>
      <c r="L1475" s="11"/>
    </row>
    <row r="1476" customFormat="false" ht="15" hidden="false" customHeight="false" outlineLevel="0" collapsed="false">
      <c r="A1476" s="10"/>
      <c r="B1476" s="11"/>
      <c r="C1476" s="11"/>
      <c r="D1476" s="11"/>
      <c r="E1476" s="11"/>
      <c r="F1476" s="11"/>
      <c r="G1476" s="11"/>
      <c r="H1476" s="15" t="str">
        <f aca="false">IF(OR(D1476="",F1476=""),"",IF(F1476&lt;=1,D1476,D1476*(1+F1476/30)))</f>
        <v/>
      </c>
      <c r="I1476" s="15" t="str">
        <f aca="false">IF(OR(D1476="",F1476="",G1476=""),"",IF(F1476+MAX(0,10-G1476)&lt;=1,D1476,D1476*(1+(F1476+MAX(0,10-G1476))/30)))</f>
        <v/>
      </c>
      <c r="J1476" s="16" t="str">
        <f aca="false">IF(A1476="","",IF(AND(C1476="yes",N(G1476)&gt;=7),N(E1476),0))</f>
        <v/>
      </c>
      <c r="K1476" s="17" t="str">
        <f aca="false">IF(A1476="","",A1476-WEEKDAY(A1476,3))</f>
        <v/>
      </c>
      <c r="L1476" s="11"/>
    </row>
    <row r="1477" customFormat="false" ht="15" hidden="false" customHeight="false" outlineLevel="0" collapsed="false">
      <c r="A1477" s="10"/>
      <c r="B1477" s="11"/>
      <c r="C1477" s="11"/>
      <c r="D1477" s="11"/>
      <c r="E1477" s="11"/>
      <c r="F1477" s="11"/>
      <c r="G1477" s="11"/>
      <c r="H1477" s="15" t="str">
        <f aca="false">IF(OR(D1477="",F1477=""),"",IF(F1477&lt;=1,D1477,D1477*(1+F1477/30)))</f>
        <v/>
      </c>
      <c r="I1477" s="15" t="str">
        <f aca="false">IF(OR(D1477="",F1477="",G1477=""),"",IF(F1477+MAX(0,10-G1477)&lt;=1,D1477,D1477*(1+(F1477+MAX(0,10-G1477))/30)))</f>
        <v/>
      </c>
      <c r="J1477" s="16" t="str">
        <f aca="false">IF(A1477="","",IF(AND(C1477="yes",N(G1477)&gt;=7),N(E1477),0))</f>
        <v/>
      </c>
      <c r="K1477" s="17" t="str">
        <f aca="false">IF(A1477="","",A1477-WEEKDAY(A1477,3))</f>
        <v/>
      </c>
      <c r="L1477" s="11"/>
    </row>
    <row r="1478" customFormat="false" ht="15" hidden="false" customHeight="false" outlineLevel="0" collapsed="false">
      <c r="A1478" s="10"/>
      <c r="B1478" s="11"/>
      <c r="C1478" s="11"/>
      <c r="D1478" s="11"/>
      <c r="E1478" s="11"/>
      <c r="F1478" s="11"/>
      <c r="G1478" s="11"/>
      <c r="H1478" s="15" t="str">
        <f aca="false">IF(OR(D1478="",F1478=""),"",IF(F1478&lt;=1,D1478,D1478*(1+F1478/30)))</f>
        <v/>
      </c>
      <c r="I1478" s="15" t="str">
        <f aca="false">IF(OR(D1478="",F1478="",G1478=""),"",IF(F1478+MAX(0,10-G1478)&lt;=1,D1478,D1478*(1+(F1478+MAX(0,10-G1478))/30)))</f>
        <v/>
      </c>
      <c r="J1478" s="16" t="str">
        <f aca="false">IF(A1478="","",IF(AND(C1478="yes",N(G1478)&gt;=7),N(E1478),0))</f>
        <v/>
      </c>
      <c r="K1478" s="17" t="str">
        <f aca="false">IF(A1478="","",A1478-WEEKDAY(A1478,3))</f>
        <v/>
      </c>
      <c r="L1478" s="11"/>
    </row>
    <row r="1479" customFormat="false" ht="15" hidden="false" customHeight="false" outlineLevel="0" collapsed="false">
      <c r="A1479" s="10"/>
      <c r="B1479" s="11"/>
      <c r="C1479" s="11"/>
      <c r="D1479" s="11"/>
      <c r="E1479" s="11"/>
      <c r="F1479" s="11"/>
      <c r="G1479" s="11"/>
      <c r="H1479" s="15" t="str">
        <f aca="false">IF(OR(D1479="",F1479=""),"",IF(F1479&lt;=1,D1479,D1479*(1+F1479/30)))</f>
        <v/>
      </c>
      <c r="I1479" s="15" t="str">
        <f aca="false">IF(OR(D1479="",F1479="",G1479=""),"",IF(F1479+MAX(0,10-G1479)&lt;=1,D1479,D1479*(1+(F1479+MAX(0,10-G1479))/30)))</f>
        <v/>
      </c>
      <c r="J1479" s="16" t="str">
        <f aca="false">IF(A1479="","",IF(AND(C1479="yes",N(G1479)&gt;=7),N(E1479),0))</f>
        <v/>
      </c>
      <c r="K1479" s="17" t="str">
        <f aca="false">IF(A1479="","",A1479-WEEKDAY(A1479,3))</f>
        <v/>
      </c>
      <c r="L1479" s="11"/>
    </row>
    <row r="1480" customFormat="false" ht="15" hidden="false" customHeight="false" outlineLevel="0" collapsed="false">
      <c r="A1480" s="10"/>
      <c r="B1480" s="11"/>
      <c r="C1480" s="11"/>
      <c r="D1480" s="11"/>
      <c r="E1480" s="11"/>
      <c r="F1480" s="11"/>
      <c r="G1480" s="11"/>
      <c r="H1480" s="15" t="str">
        <f aca="false">IF(OR(D1480="",F1480=""),"",IF(F1480&lt;=1,D1480,D1480*(1+F1480/30)))</f>
        <v/>
      </c>
      <c r="I1480" s="15" t="str">
        <f aca="false">IF(OR(D1480="",F1480="",G1480=""),"",IF(F1480+MAX(0,10-G1480)&lt;=1,D1480,D1480*(1+(F1480+MAX(0,10-G1480))/30)))</f>
        <v/>
      </c>
      <c r="J1480" s="16" t="str">
        <f aca="false">IF(A1480="","",IF(AND(C1480="yes",N(G1480)&gt;=7),N(E1480),0))</f>
        <v/>
      </c>
      <c r="K1480" s="17" t="str">
        <f aca="false">IF(A1480="","",A1480-WEEKDAY(A1480,3))</f>
        <v/>
      </c>
      <c r="L1480" s="11"/>
    </row>
    <row r="1481" customFormat="false" ht="15" hidden="false" customHeight="false" outlineLevel="0" collapsed="false">
      <c r="A1481" s="10"/>
      <c r="B1481" s="11"/>
      <c r="C1481" s="11"/>
      <c r="D1481" s="11"/>
      <c r="E1481" s="11"/>
      <c r="F1481" s="11"/>
      <c r="G1481" s="11"/>
      <c r="H1481" s="15" t="str">
        <f aca="false">IF(OR(D1481="",F1481=""),"",IF(F1481&lt;=1,D1481,D1481*(1+F1481/30)))</f>
        <v/>
      </c>
      <c r="I1481" s="15" t="str">
        <f aca="false">IF(OR(D1481="",F1481="",G1481=""),"",IF(F1481+MAX(0,10-G1481)&lt;=1,D1481,D1481*(1+(F1481+MAX(0,10-G1481))/30)))</f>
        <v/>
      </c>
      <c r="J1481" s="16" t="str">
        <f aca="false">IF(A1481="","",IF(AND(C1481="yes",N(G1481)&gt;=7),N(E1481),0))</f>
        <v/>
      </c>
      <c r="K1481" s="17" t="str">
        <f aca="false">IF(A1481="","",A1481-WEEKDAY(A1481,3))</f>
        <v/>
      </c>
      <c r="L1481" s="11"/>
    </row>
    <row r="1482" customFormat="false" ht="15" hidden="false" customHeight="false" outlineLevel="0" collapsed="false">
      <c r="A1482" s="10"/>
      <c r="B1482" s="11"/>
      <c r="C1482" s="11"/>
      <c r="D1482" s="11"/>
      <c r="E1482" s="11"/>
      <c r="F1482" s="11"/>
      <c r="G1482" s="11"/>
      <c r="H1482" s="15" t="str">
        <f aca="false">IF(OR(D1482="",F1482=""),"",IF(F1482&lt;=1,D1482,D1482*(1+F1482/30)))</f>
        <v/>
      </c>
      <c r="I1482" s="15" t="str">
        <f aca="false">IF(OR(D1482="",F1482="",G1482=""),"",IF(F1482+MAX(0,10-G1482)&lt;=1,D1482,D1482*(1+(F1482+MAX(0,10-G1482))/30)))</f>
        <v/>
      </c>
      <c r="J1482" s="16" t="str">
        <f aca="false">IF(A1482="","",IF(AND(C1482="yes",N(G1482)&gt;=7),N(E1482),0))</f>
        <v/>
      </c>
      <c r="K1482" s="17" t="str">
        <f aca="false">IF(A1482="","",A1482-WEEKDAY(A1482,3))</f>
        <v/>
      </c>
      <c r="L1482" s="11"/>
    </row>
    <row r="1483" customFormat="false" ht="15" hidden="false" customHeight="false" outlineLevel="0" collapsed="false">
      <c r="A1483" s="10"/>
      <c r="B1483" s="11"/>
      <c r="C1483" s="11"/>
      <c r="D1483" s="11"/>
      <c r="E1483" s="11"/>
      <c r="F1483" s="11"/>
      <c r="G1483" s="11"/>
      <c r="H1483" s="15" t="str">
        <f aca="false">IF(OR(D1483="",F1483=""),"",IF(F1483&lt;=1,D1483,D1483*(1+F1483/30)))</f>
        <v/>
      </c>
      <c r="I1483" s="15" t="str">
        <f aca="false">IF(OR(D1483="",F1483="",G1483=""),"",IF(F1483+MAX(0,10-G1483)&lt;=1,D1483,D1483*(1+(F1483+MAX(0,10-G1483))/30)))</f>
        <v/>
      </c>
      <c r="J1483" s="16" t="str">
        <f aca="false">IF(A1483="","",IF(AND(C1483="yes",N(G1483)&gt;=7),N(E1483),0))</f>
        <v/>
      </c>
      <c r="K1483" s="17" t="str">
        <f aca="false">IF(A1483="","",A1483-WEEKDAY(A1483,3))</f>
        <v/>
      </c>
      <c r="L1483" s="11"/>
    </row>
    <row r="1484" customFormat="false" ht="15" hidden="false" customHeight="false" outlineLevel="0" collapsed="false">
      <c r="A1484" s="10"/>
      <c r="B1484" s="11"/>
      <c r="C1484" s="11"/>
      <c r="D1484" s="11"/>
      <c r="E1484" s="11"/>
      <c r="F1484" s="11"/>
      <c r="G1484" s="11"/>
      <c r="H1484" s="15" t="str">
        <f aca="false">IF(OR(D1484="",F1484=""),"",IF(F1484&lt;=1,D1484,D1484*(1+F1484/30)))</f>
        <v/>
      </c>
      <c r="I1484" s="15" t="str">
        <f aca="false">IF(OR(D1484="",F1484="",G1484=""),"",IF(F1484+MAX(0,10-G1484)&lt;=1,D1484,D1484*(1+(F1484+MAX(0,10-G1484))/30)))</f>
        <v/>
      </c>
      <c r="J1484" s="16" t="str">
        <f aca="false">IF(A1484="","",IF(AND(C1484="yes",N(G1484)&gt;=7),N(E1484),0))</f>
        <v/>
      </c>
      <c r="K1484" s="17" t="str">
        <f aca="false">IF(A1484="","",A1484-WEEKDAY(A1484,3))</f>
        <v/>
      </c>
      <c r="L1484" s="11"/>
    </row>
    <row r="1485" customFormat="false" ht="15" hidden="false" customHeight="false" outlineLevel="0" collapsed="false">
      <c r="A1485" s="10"/>
      <c r="B1485" s="11"/>
      <c r="C1485" s="11"/>
      <c r="D1485" s="11"/>
      <c r="E1485" s="11"/>
      <c r="F1485" s="11"/>
      <c r="G1485" s="11"/>
      <c r="H1485" s="15" t="str">
        <f aca="false">IF(OR(D1485="",F1485=""),"",IF(F1485&lt;=1,D1485,D1485*(1+F1485/30)))</f>
        <v/>
      </c>
      <c r="I1485" s="15" t="str">
        <f aca="false">IF(OR(D1485="",F1485="",G1485=""),"",IF(F1485+MAX(0,10-G1485)&lt;=1,D1485,D1485*(1+(F1485+MAX(0,10-G1485))/30)))</f>
        <v/>
      </c>
      <c r="J1485" s="16" t="str">
        <f aca="false">IF(A1485="","",IF(AND(C1485="yes",N(G1485)&gt;=7),N(E1485),0))</f>
        <v/>
      </c>
      <c r="K1485" s="17" t="str">
        <f aca="false">IF(A1485="","",A1485-WEEKDAY(A1485,3))</f>
        <v/>
      </c>
      <c r="L1485" s="11"/>
    </row>
    <row r="1486" customFormat="false" ht="15" hidden="false" customHeight="false" outlineLevel="0" collapsed="false">
      <c r="A1486" s="10"/>
      <c r="B1486" s="11"/>
      <c r="C1486" s="11"/>
      <c r="D1486" s="11"/>
      <c r="E1486" s="11"/>
      <c r="F1486" s="11"/>
      <c r="G1486" s="11"/>
      <c r="H1486" s="15" t="str">
        <f aca="false">IF(OR(D1486="",F1486=""),"",IF(F1486&lt;=1,D1486,D1486*(1+F1486/30)))</f>
        <v/>
      </c>
      <c r="I1486" s="15" t="str">
        <f aca="false">IF(OR(D1486="",F1486="",G1486=""),"",IF(F1486+MAX(0,10-G1486)&lt;=1,D1486,D1486*(1+(F1486+MAX(0,10-G1486))/30)))</f>
        <v/>
      </c>
      <c r="J1486" s="16" t="str">
        <f aca="false">IF(A1486="","",IF(AND(C1486="yes",N(G1486)&gt;=7),N(E1486),0))</f>
        <v/>
      </c>
      <c r="K1486" s="17" t="str">
        <f aca="false">IF(A1486="","",A1486-WEEKDAY(A1486,3))</f>
        <v/>
      </c>
      <c r="L1486" s="11"/>
    </row>
    <row r="1487" customFormat="false" ht="15" hidden="false" customHeight="false" outlineLevel="0" collapsed="false">
      <c r="A1487" s="10"/>
      <c r="B1487" s="11"/>
      <c r="C1487" s="11"/>
      <c r="D1487" s="11"/>
      <c r="E1487" s="11"/>
      <c r="F1487" s="11"/>
      <c r="G1487" s="11"/>
      <c r="H1487" s="15" t="str">
        <f aca="false">IF(OR(D1487="",F1487=""),"",IF(F1487&lt;=1,D1487,D1487*(1+F1487/30)))</f>
        <v/>
      </c>
      <c r="I1487" s="15" t="str">
        <f aca="false">IF(OR(D1487="",F1487="",G1487=""),"",IF(F1487+MAX(0,10-G1487)&lt;=1,D1487,D1487*(1+(F1487+MAX(0,10-G1487))/30)))</f>
        <v/>
      </c>
      <c r="J1487" s="16" t="str">
        <f aca="false">IF(A1487="","",IF(AND(C1487="yes",N(G1487)&gt;=7),N(E1487),0))</f>
        <v/>
      </c>
      <c r="K1487" s="17" t="str">
        <f aca="false">IF(A1487="","",A1487-WEEKDAY(A1487,3))</f>
        <v/>
      </c>
      <c r="L1487" s="11"/>
    </row>
    <row r="1488" customFormat="false" ht="15" hidden="false" customHeight="false" outlineLevel="0" collapsed="false">
      <c r="A1488" s="10"/>
      <c r="B1488" s="11"/>
      <c r="C1488" s="11"/>
      <c r="D1488" s="11"/>
      <c r="E1488" s="11"/>
      <c r="F1488" s="11"/>
      <c r="G1488" s="11"/>
      <c r="H1488" s="15" t="str">
        <f aca="false">IF(OR(D1488="",F1488=""),"",IF(F1488&lt;=1,D1488,D1488*(1+F1488/30)))</f>
        <v/>
      </c>
      <c r="I1488" s="15" t="str">
        <f aca="false">IF(OR(D1488="",F1488="",G1488=""),"",IF(F1488+MAX(0,10-G1488)&lt;=1,D1488,D1488*(1+(F1488+MAX(0,10-G1488))/30)))</f>
        <v/>
      </c>
      <c r="J1488" s="16" t="str">
        <f aca="false">IF(A1488="","",IF(AND(C1488="yes",N(G1488)&gt;=7),N(E1488),0))</f>
        <v/>
      </c>
      <c r="K1488" s="17" t="str">
        <f aca="false">IF(A1488="","",A1488-WEEKDAY(A1488,3))</f>
        <v/>
      </c>
      <c r="L1488" s="11"/>
    </row>
    <row r="1489" customFormat="false" ht="15" hidden="false" customHeight="false" outlineLevel="0" collapsed="false">
      <c r="A1489" s="10"/>
      <c r="B1489" s="11"/>
      <c r="C1489" s="11"/>
      <c r="D1489" s="11"/>
      <c r="E1489" s="11"/>
      <c r="F1489" s="11"/>
      <c r="G1489" s="11"/>
      <c r="H1489" s="15" t="str">
        <f aca="false">IF(OR(D1489="",F1489=""),"",IF(F1489&lt;=1,D1489,D1489*(1+F1489/30)))</f>
        <v/>
      </c>
      <c r="I1489" s="15" t="str">
        <f aca="false">IF(OR(D1489="",F1489="",G1489=""),"",IF(F1489+MAX(0,10-G1489)&lt;=1,D1489,D1489*(1+(F1489+MAX(0,10-G1489))/30)))</f>
        <v/>
      </c>
      <c r="J1489" s="16" t="str">
        <f aca="false">IF(A1489="","",IF(AND(C1489="yes",N(G1489)&gt;=7),N(E1489),0))</f>
        <v/>
      </c>
      <c r="K1489" s="17" t="str">
        <f aca="false">IF(A1489="","",A1489-WEEKDAY(A1489,3))</f>
        <v/>
      </c>
      <c r="L1489" s="11"/>
    </row>
    <row r="1490" customFormat="false" ht="15" hidden="false" customHeight="false" outlineLevel="0" collapsed="false">
      <c r="A1490" s="10"/>
      <c r="B1490" s="11"/>
      <c r="C1490" s="11"/>
      <c r="D1490" s="11"/>
      <c r="E1490" s="11"/>
      <c r="F1490" s="11"/>
      <c r="G1490" s="11"/>
      <c r="H1490" s="15" t="str">
        <f aca="false">IF(OR(D1490="",F1490=""),"",IF(F1490&lt;=1,D1490,D1490*(1+F1490/30)))</f>
        <v/>
      </c>
      <c r="I1490" s="15" t="str">
        <f aca="false">IF(OR(D1490="",F1490="",G1490=""),"",IF(F1490+MAX(0,10-G1490)&lt;=1,D1490,D1490*(1+(F1490+MAX(0,10-G1490))/30)))</f>
        <v/>
      </c>
      <c r="J1490" s="16" t="str">
        <f aca="false">IF(A1490="","",IF(AND(C1490="yes",N(G1490)&gt;=7),N(E1490),0))</f>
        <v/>
      </c>
      <c r="K1490" s="17" t="str">
        <f aca="false">IF(A1490="","",A1490-WEEKDAY(A1490,3))</f>
        <v/>
      </c>
      <c r="L1490" s="11"/>
    </row>
    <row r="1491" customFormat="false" ht="15" hidden="false" customHeight="false" outlineLevel="0" collapsed="false">
      <c r="A1491" s="10"/>
      <c r="B1491" s="11"/>
      <c r="C1491" s="11"/>
      <c r="D1491" s="11"/>
      <c r="E1491" s="11"/>
      <c r="F1491" s="11"/>
      <c r="G1491" s="11"/>
      <c r="H1491" s="15" t="str">
        <f aca="false">IF(OR(D1491="",F1491=""),"",IF(F1491&lt;=1,D1491,D1491*(1+F1491/30)))</f>
        <v/>
      </c>
      <c r="I1491" s="15" t="str">
        <f aca="false">IF(OR(D1491="",F1491="",G1491=""),"",IF(F1491+MAX(0,10-G1491)&lt;=1,D1491,D1491*(1+(F1491+MAX(0,10-G1491))/30)))</f>
        <v/>
      </c>
      <c r="J1491" s="16" t="str">
        <f aca="false">IF(A1491="","",IF(AND(C1491="yes",N(G1491)&gt;=7),N(E1491),0))</f>
        <v/>
      </c>
      <c r="K1491" s="17" t="str">
        <f aca="false">IF(A1491="","",A1491-WEEKDAY(A1491,3))</f>
        <v/>
      </c>
      <c r="L1491" s="11"/>
    </row>
    <row r="1492" customFormat="false" ht="15" hidden="false" customHeight="false" outlineLevel="0" collapsed="false">
      <c r="A1492" s="10"/>
      <c r="B1492" s="11"/>
      <c r="C1492" s="11"/>
      <c r="D1492" s="11"/>
      <c r="E1492" s="11"/>
      <c r="F1492" s="11"/>
      <c r="G1492" s="11"/>
      <c r="H1492" s="15" t="str">
        <f aca="false">IF(OR(D1492="",F1492=""),"",IF(F1492&lt;=1,D1492,D1492*(1+F1492/30)))</f>
        <v/>
      </c>
      <c r="I1492" s="15" t="str">
        <f aca="false">IF(OR(D1492="",F1492="",G1492=""),"",IF(F1492+MAX(0,10-G1492)&lt;=1,D1492,D1492*(1+(F1492+MAX(0,10-G1492))/30)))</f>
        <v/>
      </c>
      <c r="J1492" s="16" t="str">
        <f aca="false">IF(A1492="","",IF(AND(C1492="yes",N(G1492)&gt;=7),N(E1492),0))</f>
        <v/>
      </c>
      <c r="K1492" s="17" t="str">
        <f aca="false">IF(A1492="","",A1492-WEEKDAY(A1492,3))</f>
        <v/>
      </c>
      <c r="L1492" s="11"/>
    </row>
    <row r="1493" customFormat="false" ht="15" hidden="false" customHeight="false" outlineLevel="0" collapsed="false">
      <c r="A1493" s="10"/>
      <c r="B1493" s="11"/>
      <c r="C1493" s="11"/>
      <c r="D1493" s="11"/>
      <c r="E1493" s="11"/>
      <c r="F1493" s="11"/>
      <c r="G1493" s="11"/>
      <c r="H1493" s="15" t="str">
        <f aca="false">IF(OR(D1493="",F1493=""),"",IF(F1493&lt;=1,D1493,D1493*(1+F1493/30)))</f>
        <v/>
      </c>
      <c r="I1493" s="15" t="str">
        <f aca="false">IF(OR(D1493="",F1493="",G1493=""),"",IF(F1493+MAX(0,10-G1493)&lt;=1,D1493,D1493*(1+(F1493+MAX(0,10-G1493))/30)))</f>
        <v/>
      </c>
      <c r="J1493" s="16" t="str">
        <f aca="false">IF(A1493="","",IF(AND(C1493="yes",N(G1493)&gt;=7),N(E1493),0))</f>
        <v/>
      </c>
      <c r="K1493" s="17" t="str">
        <f aca="false">IF(A1493="","",A1493-WEEKDAY(A1493,3))</f>
        <v/>
      </c>
      <c r="L1493" s="11"/>
    </row>
    <row r="1494" customFormat="false" ht="15" hidden="false" customHeight="false" outlineLevel="0" collapsed="false">
      <c r="A1494" s="10"/>
      <c r="B1494" s="11"/>
      <c r="C1494" s="11"/>
      <c r="D1494" s="11"/>
      <c r="E1494" s="11"/>
      <c r="F1494" s="11"/>
      <c r="G1494" s="11"/>
      <c r="H1494" s="15" t="str">
        <f aca="false">IF(OR(D1494="",F1494=""),"",IF(F1494&lt;=1,D1494,D1494*(1+F1494/30)))</f>
        <v/>
      </c>
      <c r="I1494" s="15" t="str">
        <f aca="false">IF(OR(D1494="",F1494="",G1494=""),"",IF(F1494+MAX(0,10-G1494)&lt;=1,D1494,D1494*(1+(F1494+MAX(0,10-G1494))/30)))</f>
        <v/>
      </c>
      <c r="J1494" s="16" t="str">
        <f aca="false">IF(A1494="","",IF(AND(C1494="yes",N(G1494)&gt;=7),N(E1494),0))</f>
        <v/>
      </c>
      <c r="K1494" s="17" t="str">
        <f aca="false">IF(A1494="","",A1494-WEEKDAY(A1494,3))</f>
        <v/>
      </c>
      <c r="L1494" s="11"/>
    </row>
    <row r="1495" customFormat="false" ht="15" hidden="false" customHeight="false" outlineLevel="0" collapsed="false">
      <c r="A1495" s="10"/>
      <c r="B1495" s="11"/>
      <c r="C1495" s="11"/>
      <c r="D1495" s="11"/>
      <c r="E1495" s="11"/>
      <c r="F1495" s="11"/>
      <c r="G1495" s="11"/>
      <c r="H1495" s="15" t="str">
        <f aca="false">IF(OR(D1495="",F1495=""),"",IF(F1495&lt;=1,D1495,D1495*(1+F1495/30)))</f>
        <v/>
      </c>
      <c r="I1495" s="15" t="str">
        <f aca="false">IF(OR(D1495="",F1495="",G1495=""),"",IF(F1495+MAX(0,10-G1495)&lt;=1,D1495,D1495*(1+(F1495+MAX(0,10-G1495))/30)))</f>
        <v/>
      </c>
      <c r="J1495" s="16" t="str">
        <f aca="false">IF(A1495="","",IF(AND(C1495="yes",N(G1495)&gt;=7),N(E1495),0))</f>
        <v/>
      </c>
      <c r="K1495" s="17" t="str">
        <f aca="false">IF(A1495="","",A1495-WEEKDAY(A1495,3))</f>
        <v/>
      </c>
      <c r="L1495" s="11"/>
    </row>
    <row r="1496" customFormat="false" ht="15" hidden="false" customHeight="false" outlineLevel="0" collapsed="false">
      <c r="A1496" s="10"/>
      <c r="B1496" s="11"/>
      <c r="C1496" s="11"/>
      <c r="D1496" s="11"/>
      <c r="E1496" s="11"/>
      <c r="F1496" s="11"/>
      <c r="G1496" s="11"/>
      <c r="H1496" s="15" t="str">
        <f aca="false">IF(OR(D1496="",F1496=""),"",IF(F1496&lt;=1,D1496,D1496*(1+F1496/30)))</f>
        <v/>
      </c>
      <c r="I1496" s="15" t="str">
        <f aca="false">IF(OR(D1496="",F1496="",G1496=""),"",IF(F1496+MAX(0,10-G1496)&lt;=1,D1496,D1496*(1+(F1496+MAX(0,10-G1496))/30)))</f>
        <v/>
      </c>
      <c r="J1496" s="16" t="str">
        <f aca="false">IF(A1496="","",IF(AND(C1496="yes",N(G1496)&gt;=7),N(E1496),0))</f>
        <v/>
      </c>
      <c r="K1496" s="17" t="str">
        <f aca="false">IF(A1496="","",A1496-WEEKDAY(A1496,3))</f>
        <v/>
      </c>
      <c r="L1496" s="11"/>
    </row>
    <row r="1497" customFormat="false" ht="15" hidden="false" customHeight="false" outlineLevel="0" collapsed="false">
      <c r="A1497" s="10"/>
      <c r="B1497" s="11"/>
      <c r="C1497" s="11"/>
      <c r="D1497" s="11"/>
      <c r="E1497" s="11"/>
      <c r="F1497" s="11"/>
      <c r="G1497" s="11"/>
      <c r="H1497" s="15" t="str">
        <f aca="false">IF(OR(D1497="",F1497=""),"",IF(F1497&lt;=1,D1497,D1497*(1+F1497/30)))</f>
        <v/>
      </c>
      <c r="I1497" s="15" t="str">
        <f aca="false">IF(OR(D1497="",F1497="",G1497=""),"",IF(F1497+MAX(0,10-G1497)&lt;=1,D1497,D1497*(1+(F1497+MAX(0,10-G1497))/30)))</f>
        <v/>
      </c>
      <c r="J1497" s="16" t="str">
        <f aca="false">IF(A1497="","",IF(AND(C1497="yes",N(G1497)&gt;=7),N(E1497),0))</f>
        <v/>
      </c>
      <c r="K1497" s="17" t="str">
        <f aca="false">IF(A1497="","",A1497-WEEKDAY(A1497,3))</f>
        <v/>
      </c>
      <c r="L1497" s="11"/>
    </row>
    <row r="1498" customFormat="false" ht="15" hidden="false" customHeight="false" outlineLevel="0" collapsed="false">
      <c r="A1498" s="10"/>
      <c r="B1498" s="11"/>
      <c r="C1498" s="11"/>
      <c r="D1498" s="11"/>
      <c r="E1498" s="11"/>
      <c r="F1498" s="11"/>
      <c r="G1498" s="11"/>
      <c r="H1498" s="15" t="str">
        <f aca="false">IF(OR(D1498="",F1498=""),"",IF(F1498&lt;=1,D1498,D1498*(1+F1498/30)))</f>
        <v/>
      </c>
      <c r="I1498" s="15" t="str">
        <f aca="false">IF(OR(D1498="",F1498="",G1498=""),"",IF(F1498+MAX(0,10-G1498)&lt;=1,D1498,D1498*(1+(F1498+MAX(0,10-G1498))/30)))</f>
        <v/>
      </c>
      <c r="J1498" s="16" t="str">
        <f aca="false">IF(A1498="","",IF(AND(C1498="yes",N(G1498)&gt;=7),N(E1498),0))</f>
        <v/>
      </c>
      <c r="K1498" s="17" t="str">
        <f aca="false">IF(A1498="","",A1498-WEEKDAY(A1498,3))</f>
        <v/>
      </c>
      <c r="L1498" s="11"/>
    </row>
    <row r="1499" customFormat="false" ht="15" hidden="false" customHeight="false" outlineLevel="0" collapsed="false">
      <c r="A1499" s="10"/>
      <c r="B1499" s="11"/>
      <c r="C1499" s="11"/>
      <c r="D1499" s="11"/>
      <c r="E1499" s="11"/>
      <c r="F1499" s="11"/>
      <c r="G1499" s="11"/>
      <c r="H1499" s="15" t="str">
        <f aca="false">IF(OR(D1499="",F1499=""),"",IF(F1499&lt;=1,D1499,D1499*(1+F1499/30)))</f>
        <v/>
      </c>
      <c r="I1499" s="15" t="str">
        <f aca="false">IF(OR(D1499="",F1499="",G1499=""),"",IF(F1499+MAX(0,10-G1499)&lt;=1,D1499,D1499*(1+(F1499+MAX(0,10-G1499))/30)))</f>
        <v/>
      </c>
      <c r="J1499" s="16" t="str">
        <f aca="false">IF(A1499="","",IF(AND(C1499="yes",N(G1499)&gt;=7),N(E1499),0))</f>
        <v/>
      </c>
      <c r="K1499" s="17" t="str">
        <f aca="false">IF(A1499="","",A1499-WEEKDAY(A1499,3))</f>
        <v/>
      </c>
      <c r="L1499" s="11"/>
    </row>
    <row r="1500" customFormat="false" ht="15" hidden="false" customHeight="false" outlineLevel="0" collapsed="false">
      <c r="A1500" s="10"/>
      <c r="B1500" s="11"/>
      <c r="C1500" s="11"/>
      <c r="D1500" s="11"/>
      <c r="E1500" s="11"/>
      <c r="F1500" s="11"/>
      <c r="G1500" s="11"/>
      <c r="H1500" s="15" t="str">
        <f aca="false">IF(OR(D1500="",F1500=""),"",IF(F1500&lt;=1,D1500,D1500*(1+F1500/30)))</f>
        <v/>
      </c>
      <c r="I1500" s="15" t="str">
        <f aca="false">IF(OR(D1500="",F1500="",G1500=""),"",IF(F1500+MAX(0,10-G1500)&lt;=1,D1500,D1500*(1+(F1500+MAX(0,10-G1500))/30)))</f>
        <v/>
      </c>
      <c r="J1500" s="16" t="str">
        <f aca="false">IF(A1500="","",IF(AND(C1500="yes",N(G1500)&gt;=7),N(E1500),0))</f>
        <v/>
      </c>
      <c r="K1500" s="17" t="str">
        <f aca="false">IF(A1500="","",A1500-WEEKDAY(A1500,3))</f>
        <v/>
      </c>
      <c r="L1500" s="11"/>
    </row>
    <row r="1501" customFormat="false" ht="15" hidden="false" customHeight="false" outlineLevel="0" collapsed="false">
      <c r="A1501" s="10"/>
      <c r="B1501" s="11"/>
      <c r="C1501" s="11"/>
      <c r="D1501" s="11"/>
      <c r="E1501" s="11"/>
      <c r="F1501" s="11"/>
      <c r="G1501" s="11"/>
      <c r="H1501" s="15" t="str">
        <f aca="false">IF(OR(D1501="",F1501=""),"",IF(F1501&lt;=1,D1501,D1501*(1+F1501/30)))</f>
        <v/>
      </c>
      <c r="I1501" s="15" t="str">
        <f aca="false">IF(OR(D1501="",F1501="",G1501=""),"",IF(F1501+MAX(0,10-G1501)&lt;=1,D1501,D1501*(1+(F1501+MAX(0,10-G1501))/30)))</f>
        <v/>
      </c>
      <c r="J1501" s="16" t="str">
        <f aca="false">IF(A1501="","",IF(AND(C1501="yes",N(G1501)&gt;=7),N(E1501),0))</f>
        <v/>
      </c>
      <c r="K1501" s="17" t="str">
        <f aca="false">IF(A1501="","",A1501-WEEKDAY(A1501,3))</f>
        <v/>
      </c>
      <c r="L1501" s="11"/>
    </row>
    <row r="1502" customFormat="false" ht="15" hidden="false" customHeight="false" outlineLevel="0" collapsed="false">
      <c r="A1502" s="10"/>
      <c r="B1502" s="11"/>
      <c r="C1502" s="11"/>
      <c r="D1502" s="11"/>
      <c r="E1502" s="11"/>
      <c r="F1502" s="11"/>
      <c r="G1502" s="11"/>
      <c r="H1502" s="15" t="str">
        <f aca="false">IF(OR(D1502="",F1502=""),"",IF(F1502&lt;=1,D1502,D1502*(1+F1502/30)))</f>
        <v/>
      </c>
      <c r="I1502" s="15" t="str">
        <f aca="false">IF(OR(D1502="",F1502="",G1502=""),"",IF(F1502+MAX(0,10-G1502)&lt;=1,D1502,D1502*(1+(F1502+MAX(0,10-G1502))/30)))</f>
        <v/>
      </c>
      <c r="J1502" s="16" t="str">
        <f aca="false">IF(A1502="","",IF(AND(C1502="yes",N(G1502)&gt;=7),N(E1502),0))</f>
        <v/>
      </c>
      <c r="K1502" s="17" t="str">
        <f aca="false">IF(A1502="","",A1502-WEEKDAY(A1502,3))</f>
        <v/>
      </c>
      <c r="L1502" s="11"/>
    </row>
    <row r="1503" customFormat="false" ht="15" hidden="false" customHeight="false" outlineLevel="0" collapsed="false">
      <c r="A1503" s="10"/>
      <c r="B1503" s="11"/>
      <c r="C1503" s="11"/>
      <c r="D1503" s="11"/>
      <c r="E1503" s="11"/>
      <c r="F1503" s="11"/>
      <c r="G1503" s="11"/>
      <c r="H1503" s="15" t="str">
        <f aca="false">IF(OR(D1503="",F1503=""),"",IF(F1503&lt;=1,D1503,D1503*(1+F1503/30)))</f>
        <v/>
      </c>
      <c r="I1503" s="15" t="str">
        <f aca="false">IF(OR(D1503="",F1503="",G1503=""),"",IF(F1503+MAX(0,10-G1503)&lt;=1,D1503,D1503*(1+(F1503+MAX(0,10-G1503))/30)))</f>
        <v/>
      </c>
      <c r="J1503" s="16" t="str">
        <f aca="false">IF(A1503="","",IF(AND(C1503="yes",N(G1503)&gt;=7),N(E1503),0))</f>
        <v/>
      </c>
      <c r="K1503" s="17" t="str">
        <f aca="false">IF(A1503="","",A1503-WEEKDAY(A1503,3))</f>
        <v/>
      </c>
      <c r="L1503" s="11"/>
    </row>
    <row r="1504" customFormat="false" ht="15" hidden="false" customHeight="false" outlineLevel="0" collapsed="false">
      <c r="A1504" s="10"/>
      <c r="B1504" s="11"/>
      <c r="C1504" s="11"/>
      <c r="D1504" s="11"/>
      <c r="E1504" s="11"/>
      <c r="F1504" s="11"/>
      <c r="G1504" s="11"/>
      <c r="H1504" s="15" t="str">
        <f aca="false">IF(OR(D1504="",F1504=""),"",IF(F1504&lt;=1,D1504,D1504*(1+F1504/30)))</f>
        <v/>
      </c>
      <c r="I1504" s="15" t="str">
        <f aca="false">IF(OR(D1504="",F1504="",G1504=""),"",IF(F1504+MAX(0,10-G1504)&lt;=1,D1504,D1504*(1+(F1504+MAX(0,10-G1504))/30)))</f>
        <v/>
      </c>
      <c r="J1504" s="16" t="str">
        <f aca="false">IF(A1504="","",IF(AND(C1504="yes",N(G1504)&gt;=7),N(E1504),0))</f>
        <v/>
      </c>
      <c r="K1504" s="17" t="str">
        <f aca="false">IF(A1504="","",A1504-WEEKDAY(A1504,3))</f>
        <v/>
      </c>
      <c r="L1504" s="11"/>
    </row>
    <row r="1505" customFormat="false" ht="15" hidden="false" customHeight="false" outlineLevel="0" collapsed="false">
      <c r="A1505" s="10"/>
      <c r="B1505" s="11"/>
      <c r="C1505" s="11"/>
      <c r="D1505" s="11"/>
      <c r="E1505" s="11"/>
      <c r="F1505" s="11"/>
      <c r="G1505" s="11"/>
      <c r="H1505" s="15" t="str">
        <f aca="false">IF(OR(D1505="",F1505=""),"",IF(F1505&lt;=1,D1505,D1505*(1+F1505/30)))</f>
        <v/>
      </c>
      <c r="I1505" s="15" t="str">
        <f aca="false">IF(OR(D1505="",F1505="",G1505=""),"",IF(F1505+MAX(0,10-G1505)&lt;=1,D1505,D1505*(1+(F1505+MAX(0,10-G1505))/30)))</f>
        <v/>
      </c>
      <c r="J1505" s="16" t="str">
        <f aca="false">IF(A1505="","",IF(AND(C1505="yes",N(G1505)&gt;=7),N(E1505),0))</f>
        <v/>
      </c>
      <c r="K1505" s="17" t="str">
        <f aca="false">IF(A1505="","",A1505-WEEKDAY(A1505,3))</f>
        <v/>
      </c>
      <c r="L1505" s="11"/>
    </row>
  </sheetData>
  <dataValidations count="2">
    <dataValidation allowBlank="true" errorStyle="stop" operator="between" prompt="Axial: the spine carries the load (squat, deadlift, RDL, carries, overhead press)." showDropDown="false" showErrorMessage="false" showInputMessage="true" sqref="C6:C1505" type="list">
      <formula1>"yes,no"</formula1>
      <formula2>0</formula2>
    </dataValidation>
    <dataValidation allowBlank="true" error="Enter a number from 1 to 10." errorStyle="stop" operator="between" prompt="RPE 1–10 of the working sets. 10 - RPE = reps in reserve." showDropDown="false" showErrorMessage="true" showInputMessage="true" sqref="G6:G1505" type="decimal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1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19.7" hidden="false" customHeight="false" outlineLevel="0" collapsed="false">
      <c r="A1" s="7" t="s">
        <v>51</v>
      </c>
    </row>
    <row r="2" customFormat="false" ht="15" hidden="false" customHeight="false" outlineLevel="0" collapsed="false">
      <c r="A2" s="8" t="s">
        <v>52</v>
      </c>
    </row>
    <row r="3" customFormat="false" ht="15" hidden="false" customHeight="false" outlineLevel="0" collapsed="false">
      <c r="A3" s="8" t="s">
        <v>20</v>
      </c>
    </row>
    <row r="4" customFormat="false" ht="15" hidden="false" customHeight="false" outlineLevel="0" collapsed="false">
      <c r="H4" s="8" t="s">
        <v>53</v>
      </c>
    </row>
    <row r="5" customFormat="false" ht="30" hidden="false" customHeight="true" outlineLevel="0" collapsed="false">
      <c r="A5" s="9" t="s">
        <v>47</v>
      </c>
      <c r="B5" s="9" t="s">
        <v>46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58</v>
      </c>
      <c r="H5" s="9" t="s">
        <v>59</v>
      </c>
    </row>
    <row r="6" customFormat="false" ht="15" hidden="false" customHeight="false" outlineLevel="0" collapsed="false">
      <c r="A6" s="10" t="n">
        <v>46027</v>
      </c>
      <c r="B6" s="16" t="n">
        <f aca="false">SUMIFS('Training log'!$J$6:$J$1505,'Training log'!$K$6:$K$1505,A6)</f>
        <v>3</v>
      </c>
      <c r="C6" s="16" t="n">
        <f aca="false">COUNTIFS('Daily log'!$A$6:$A$405,"&gt;="&amp;A6,'Daily log'!$A$6:$A$405,"&lt;"&amp;A6+7)</f>
        <v>1</v>
      </c>
      <c r="D6" s="16" t="n">
        <f aca="false">COUNTIFS('Daily log'!$A$6:$A$405,"&gt;="&amp;A6,'Daily log'!$A$6:$A$405,"&lt;"&amp;A6+7,'Daily log'!$H$6:$H$405,"Yellow")</f>
        <v>0</v>
      </c>
      <c r="E6" s="16" t="n">
        <f aca="false">COUNTIFS('Daily log'!$A$6:$A$405,"&gt;="&amp;A6,'Daily log'!$A$6:$A$405,"&lt;"&amp;A6+7,'Daily log'!$H$6:$H$405,"Bad")</f>
        <v>0</v>
      </c>
      <c r="F6" s="18" t="str">
        <f aca="false">IF(E6&gt;=2,"yes","no")</f>
        <v>no</v>
      </c>
      <c r="G6" s="16" t="str">
        <f aca="false">IF(E6&gt;=2,ROUNDDOWN(B6*0.6,0),"")</f>
        <v/>
      </c>
      <c r="H6" s="14"/>
    </row>
    <row r="7" customFormat="false" ht="15" hidden="false" customHeight="false" outlineLevel="0" collapsed="false">
      <c r="A7" s="17" t="n">
        <f aca="false">A6+7</f>
        <v>46034</v>
      </c>
      <c r="B7" s="16" t="n">
        <f aca="false">SUMIFS('Training log'!$J$6:$J$1505,'Training log'!$K$6:$K$1505,A7)</f>
        <v>0</v>
      </c>
      <c r="C7" s="16" t="n">
        <f aca="false">COUNTIFS('Daily log'!$A$6:$A$405,"&gt;="&amp;A7,'Daily log'!$A$6:$A$405,"&lt;"&amp;A7+7)</f>
        <v>0</v>
      </c>
      <c r="D7" s="16" t="n">
        <f aca="false">COUNTIFS('Daily log'!$A$6:$A$405,"&gt;="&amp;A7,'Daily log'!$A$6:$A$405,"&lt;"&amp;A7+7,'Daily log'!$H$6:$H$405,"Yellow")</f>
        <v>0</v>
      </c>
      <c r="E7" s="16" t="n">
        <f aca="false">COUNTIFS('Daily log'!$A$6:$A$405,"&gt;="&amp;A7,'Daily log'!$A$6:$A$405,"&lt;"&amp;A7+7,'Daily log'!$H$6:$H$405,"Bad")</f>
        <v>0</v>
      </c>
      <c r="F7" s="18" t="str">
        <f aca="false">IF(E7&gt;=2,"yes","no")</f>
        <v>no</v>
      </c>
      <c r="G7" s="16" t="str">
        <f aca="false">IF(E7&gt;=2,ROUNDDOWN(B7*0.6,0),"")</f>
        <v/>
      </c>
      <c r="H7" s="14"/>
    </row>
    <row r="8" customFormat="false" ht="15" hidden="false" customHeight="false" outlineLevel="0" collapsed="false">
      <c r="A8" s="17" t="n">
        <f aca="false">A7+7</f>
        <v>46041</v>
      </c>
      <c r="B8" s="16" t="n">
        <f aca="false">SUMIFS('Training log'!$J$6:$J$1505,'Training log'!$K$6:$K$1505,A8)</f>
        <v>0</v>
      </c>
      <c r="C8" s="16" t="n">
        <f aca="false">COUNTIFS('Daily log'!$A$6:$A$405,"&gt;="&amp;A8,'Daily log'!$A$6:$A$405,"&lt;"&amp;A8+7)</f>
        <v>0</v>
      </c>
      <c r="D8" s="16" t="n">
        <f aca="false">COUNTIFS('Daily log'!$A$6:$A$405,"&gt;="&amp;A8,'Daily log'!$A$6:$A$405,"&lt;"&amp;A8+7,'Daily log'!$H$6:$H$405,"Yellow")</f>
        <v>0</v>
      </c>
      <c r="E8" s="16" t="n">
        <f aca="false">COUNTIFS('Daily log'!$A$6:$A$405,"&gt;="&amp;A8,'Daily log'!$A$6:$A$405,"&lt;"&amp;A8+7,'Daily log'!$H$6:$H$405,"Bad")</f>
        <v>0</v>
      </c>
      <c r="F8" s="18" t="str">
        <f aca="false">IF(E8&gt;=2,"yes","no")</f>
        <v>no</v>
      </c>
      <c r="G8" s="16" t="str">
        <f aca="false">IF(E8&gt;=2,ROUNDDOWN(B8*0.6,0),"")</f>
        <v/>
      </c>
      <c r="H8" s="14"/>
    </row>
    <row r="9" customFormat="false" ht="15" hidden="false" customHeight="false" outlineLevel="0" collapsed="false">
      <c r="A9" s="17" t="n">
        <f aca="false">A8+7</f>
        <v>46048</v>
      </c>
      <c r="B9" s="16" t="n">
        <f aca="false">SUMIFS('Training log'!$J$6:$J$1505,'Training log'!$K$6:$K$1505,A9)</f>
        <v>0</v>
      </c>
      <c r="C9" s="16" t="n">
        <f aca="false">COUNTIFS('Daily log'!$A$6:$A$405,"&gt;="&amp;A9,'Daily log'!$A$6:$A$405,"&lt;"&amp;A9+7)</f>
        <v>0</v>
      </c>
      <c r="D9" s="16" t="n">
        <f aca="false">COUNTIFS('Daily log'!$A$6:$A$405,"&gt;="&amp;A9,'Daily log'!$A$6:$A$405,"&lt;"&amp;A9+7,'Daily log'!$H$6:$H$405,"Yellow")</f>
        <v>0</v>
      </c>
      <c r="E9" s="16" t="n">
        <f aca="false">COUNTIFS('Daily log'!$A$6:$A$405,"&gt;="&amp;A9,'Daily log'!$A$6:$A$405,"&lt;"&amp;A9+7,'Daily log'!$H$6:$H$405,"Bad")</f>
        <v>0</v>
      </c>
      <c r="F9" s="18" t="str">
        <f aca="false">IF(E9&gt;=2,"yes","no")</f>
        <v>no</v>
      </c>
      <c r="G9" s="16" t="str">
        <f aca="false">IF(E9&gt;=2,ROUNDDOWN(B9*0.6,0),"")</f>
        <v/>
      </c>
      <c r="H9" s="14"/>
    </row>
    <row r="10" customFormat="false" ht="15" hidden="false" customHeight="false" outlineLevel="0" collapsed="false">
      <c r="A10" s="17" t="n">
        <f aca="false">A9+7</f>
        <v>46055</v>
      </c>
      <c r="B10" s="16" t="n">
        <f aca="false">SUMIFS('Training log'!$J$6:$J$1505,'Training log'!$K$6:$K$1505,A10)</f>
        <v>0</v>
      </c>
      <c r="C10" s="16" t="n">
        <f aca="false">COUNTIFS('Daily log'!$A$6:$A$405,"&gt;="&amp;A10,'Daily log'!$A$6:$A$405,"&lt;"&amp;A10+7)</f>
        <v>0</v>
      </c>
      <c r="D10" s="16" t="n">
        <f aca="false">COUNTIFS('Daily log'!$A$6:$A$405,"&gt;="&amp;A10,'Daily log'!$A$6:$A$405,"&lt;"&amp;A10+7,'Daily log'!$H$6:$H$405,"Yellow")</f>
        <v>0</v>
      </c>
      <c r="E10" s="16" t="n">
        <f aca="false">COUNTIFS('Daily log'!$A$6:$A$405,"&gt;="&amp;A10,'Daily log'!$A$6:$A$405,"&lt;"&amp;A10+7,'Daily log'!$H$6:$H$405,"Bad")</f>
        <v>0</v>
      </c>
      <c r="F10" s="18" t="str">
        <f aca="false">IF(E10&gt;=2,"yes","no")</f>
        <v>no</v>
      </c>
      <c r="G10" s="16" t="str">
        <f aca="false">IF(E10&gt;=2,ROUNDDOWN(B10*0.6,0),"")</f>
        <v/>
      </c>
      <c r="H10" s="14"/>
    </row>
    <row r="11" customFormat="false" ht="15" hidden="false" customHeight="false" outlineLevel="0" collapsed="false">
      <c r="A11" s="17" t="n">
        <f aca="false">A10+7</f>
        <v>46062</v>
      </c>
      <c r="B11" s="16" t="n">
        <f aca="false">SUMIFS('Training log'!$J$6:$J$1505,'Training log'!$K$6:$K$1505,A11)</f>
        <v>0</v>
      </c>
      <c r="C11" s="16" t="n">
        <f aca="false">COUNTIFS('Daily log'!$A$6:$A$405,"&gt;="&amp;A11,'Daily log'!$A$6:$A$405,"&lt;"&amp;A11+7)</f>
        <v>0</v>
      </c>
      <c r="D11" s="16" t="n">
        <f aca="false">COUNTIFS('Daily log'!$A$6:$A$405,"&gt;="&amp;A11,'Daily log'!$A$6:$A$405,"&lt;"&amp;A11+7,'Daily log'!$H$6:$H$405,"Yellow")</f>
        <v>0</v>
      </c>
      <c r="E11" s="16" t="n">
        <f aca="false">COUNTIFS('Daily log'!$A$6:$A$405,"&gt;="&amp;A11,'Daily log'!$A$6:$A$405,"&lt;"&amp;A11+7,'Daily log'!$H$6:$H$405,"Bad")</f>
        <v>0</v>
      </c>
      <c r="F11" s="18" t="str">
        <f aca="false">IF(E11&gt;=2,"yes","no")</f>
        <v>no</v>
      </c>
      <c r="G11" s="16" t="str">
        <f aca="false">IF(E11&gt;=2,ROUNDDOWN(B11*0.6,0),"")</f>
        <v/>
      </c>
      <c r="H11" s="14"/>
    </row>
    <row r="12" customFormat="false" ht="15" hidden="false" customHeight="false" outlineLevel="0" collapsed="false">
      <c r="A12" s="17" t="n">
        <f aca="false">A11+7</f>
        <v>46069</v>
      </c>
      <c r="B12" s="16" t="n">
        <f aca="false">SUMIFS('Training log'!$J$6:$J$1505,'Training log'!$K$6:$K$1505,A12)</f>
        <v>0</v>
      </c>
      <c r="C12" s="16" t="n">
        <f aca="false">COUNTIFS('Daily log'!$A$6:$A$405,"&gt;="&amp;A12,'Daily log'!$A$6:$A$405,"&lt;"&amp;A12+7)</f>
        <v>0</v>
      </c>
      <c r="D12" s="16" t="n">
        <f aca="false">COUNTIFS('Daily log'!$A$6:$A$405,"&gt;="&amp;A12,'Daily log'!$A$6:$A$405,"&lt;"&amp;A12+7,'Daily log'!$H$6:$H$405,"Yellow")</f>
        <v>0</v>
      </c>
      <c r="E12" s="16" t="n">
        <f aca="false">COUNTIFS('Daily log'!$A$6:$A$405,"&gt;="&amp;A12,'Daily log'!$A$6:$A$405,"&lt;"&amp;A12+7,'Daily log'!$H$6:$H$405,"Bad")</f>
        <v>0</v>
      </c>
      <c r="F12" s="18" t="str">
        <f aca="false">IF(E12&gt;=2,"yes","no")</f>
        <v>no</v>
      </c>
      <c r="G12" s="16" t="str">
        <f aca="false">IF(E12&gt;=2,ROUNDDOWN(B12*0.6,0),"")</f>
        <v/>
      </c>
      <c r="H12" s="14"/>
    </row>
    <row r="13" customFormat="false" ht="15" hidden="false" customHeight="false" outlineLevel="0" collapsed="false">
      <c r="A13" s="17" t="n">
        <f aca="false">A12+7</f>
        <v>46076</v>
      </c>
      <c r="B13" s="16" t="n">
        <f aca="false">SUMIFS('Training log'!$J$6:$J$1505,'Training log'!$K$6:$K$1505,A13)</f>
        <v>0</v>
      </c>
      <c r="C13" s="16" t="n">
        <f aca="false">COUNTIFS('Daily log'!$A$6:$A$405,"&gt;="&amp;A13,'Daily log'!$A$6:$A$405,"&lt;"&amp;A13+7)</f>
        <v>0</v>
      </c>
      <c r="D13" s="16" t="n">
        <f aca="false">COUNTIFS('Daily log'!$A$6:$A$405,"&gt;="&amp;A13,'Daily log'!$A$6:$A$405,"&lt;"&amp;A13+7,'Daily log'!$H$6:$H$405,"Yellow")</f>
        <v>0</v>
      </c>
      <c r="E13" s="16" t="n">
        <f aca="false">COUNTIFS('Daily log'!$A$6:$A$405,"&gt;="&amp;A13,'Daily log'!$A$6:$A$405,"&lt;"&amp;A13+7,'Daily log'!$H$6:$H$405,"Bad")</f>
        <v>0</v>
      </c>
      <c r="F13" s="18" t="str">
        <f aca="false">IF(E13&gt;=2,"yes","no")</f>
        <v>no</v>
      </c>
      <c r="G13" s="16" t="str">
        <f aca="false">IF(E13&gt;=2,ROUNDDOWN(B13*0.6,0),"")</f>
        <v/>
      </c>
      <c r="H13" s="14"/>
    </row>
    <row r="14" customFormat="false" ht="15" hidden="false" customHeight="false" outlineLevel="0" collapsed="false">
      <c r="A14" s="17" t="n">
        <f aca="false">A13+7</f>
        <v>46083</v>
      </c>
      <c r="B14" s="16" t="n">
        <f aca="false">SUMIFS('Training log'!$J$6:$J$1505,'Training log'!$K$6:$K$1505,A14)</f>
        <v>0</v>
      </c>
      <c r="C14" s="16" t="n">
        <f aca="false">COUNTIFS('Daily log'!$A$6:$A$405,"&gt;="&amp;A14,'Daily log'!$A$6:$A$405,"&lt;"&amp;A14+7)</f>
        <v>0</v>
      </c>
      <c r="D14" s="16" t="n">
        <f aca="false">COUNTIFS('Daily log'!$A$6:$A$405,"&gt;="&amp;A14,'Daily log'!$A$6:$A$405,"&lt;"&amp;A14+7,'Daily log'!$H$6:$H$405,"Yellow")</f>
        <v>0</v>
      </c>
      <c r="E14" s="16" t="n">
        <f aca="false">COUNTIFS('Daily log'!$A$6:$A$405,"&gt;="&amp;A14,'Daily log'!$A$6:$A$405,"&lt;"&amp;A14+7,'Daily log'!$H$6:$H$405,"Bad")</f>
        <v>0</v>
      </c>
      <c r="F14" s="18" t="str">
        <f aca="false">IF(E14&gt;=2,"yes","no")</f>
        <v>no</v>
      </c>
      <c r="G14" s="16" t="str">
        <f aca="false">IF(E14&gt;=2,ROUNDDOWN(B14*0.6,0),"")</f>
        <v/>
      </c>
      <c r="H14" s="14"/>
    </row>
    <row r="15" customFormat="false" ht="15" hidden="false" customHeight="false" outlineLevel="0" collapsed="false">
      <c r="A15" s="17" t="n">
        <f aca="false">A14+7</f>
        <v>46090</v>
      </c>
      <c r="B15" s="16" t="n">
        <f aca="false">SUMIFS('Training log'!$J$6:$J$1505,'Training log'!$K$6:$K$1505,A15)</f>
        <v>0</v>
      </c>
      <c r="C15" s="16" t="n">
        <f aca="false">COUNTIFS('Daily log'!$A$6:$A$405,"&gt;="&amp;A15,'Daily log'!$A$6:$A$405,"&lt;"&amp;A15+7)</f>
        <v>0</v>
      </c>
      <c r="D15" s="16" t="n">
        <f aca="false">COUNTIFS('Daily log'!$A$6:$A$405,"&gt;="&amp;A15,'Daily log'!$A$6:$A$405,"&lt;"&amp;A15+7,'Daily log'!$H$6:$H$405,"Yellow")</f>
        <v>0</v>
      </c>
      <c r="E15" s="16" t="n">
        <f aca="false">COUNTIFS('Daily log'!$A$6:$A$405,"&gt;="&amp;A15,'Daily log'!$A$6:$A$405,"&lt;"&amp;A15+7,'Daily log'!$H$6:$H$405,"Bad")</f>
        <v>0</v>
      </c>
      <c r="F15" s="18" t="str">
        <f aca="false">IF(E15&gt;=2,"yes","no")</f>
        <v>no</v>
      </c>
      <c r="G15" s="16" t="str">
        <f aca="false">IF(E15&gt;=2,ROUNDDOWN(B15*0.6,0),"")</f>
        <v/>
      </c>
      <c r="H15" s="14"/>
    </row>
    <row r="16" customFormat="false" ht="15" hidden="false" customHeight="false" outlineLevel="0" collapsed="false">
      <c r="A16" s="17" t="n">
        <f aca="false">A15+7</f>
        <v>46097</v>
      </c>
      <c r="B16" s="16" t="n">
        <f aca="false">SUMIFS('Training log'!$J$6:$J$1505,'Training log'!$K$6:$K$1505,A16)</f>
        <v>0</v>
      </c>
      <c r="C16" s="16" t="n">
        <f aca="false">COUNTIFS('Daily log'!$A$6:$A$405,"&gt;="&amp;A16,'Daily log'!$A$6:$A$405,"&lt;"&amp;A16+7)</f>
        <v>0</v>
      </c>
      <c r="D16" s="16" t="n">
        <f aca="false">COUNTIFS('Daily log'!$A$6:$A$405,"&gt;="&amp;A16,'Daily log'!$A$6:$A$405,"&lt;"&amp;A16+7,'Daily log'!$H$6:$H$405,"Yellow")</f>
        <v>0</v>
      </c>
      <c r="E16" s="16" t="n">
        <f aca="false">COUNTIFS('Daily log'!$A$6:$A$405,"&gt;="&amp;A16,'Daily log'!$A$6:$A$405,"&lt;"&amp;A16+7,'Daily log'!$H$6:$H$405,"Bad")</f>
        <v>0</v>
      </c>
      <c r="F16" s="18" t="str">
        <f aca="false">IF(E16&gt;=2,"yes","no")</f>
        <v>no</v>
      </c>
      <c r="G16" s="16" t="str">
        <f aca="false">IF(E16&gt;=2,ROUNDDOWN(B16*0.6,0),"")</f>
        <v/>
      </c>
      <c r="H16" s="14"/>
    </row>
    <row r="17" customFormat="false" ht="15" hidden="false" customHeight="false" outlineLevel="0" collapsed="false">
      <c r="A17" s="17" t="n">
        <f aca="false">A16+7</f>
        <v>46104</v>
      </c>
      <c r="B17" s="16" t="n">
        <f aca="false">SUMIFS('Training log'!$J$6:$J$1505,'Training log'!$K$6:$K$1505,A17)</f>
        <v>0</v>
      </c>
      <c r="C17" s="16" t="n">
        <f aca="false">COUNTIFS('Daily log'!$A$6:$A$405,"&gt;="&amp;A17,'Daily log'!$A$6:$A$405,"&lt;"&amp;A17+7)</f>
        <v>0</v>
      </c>
      <c r="D17" s="16" t="n">
        <f aca="false">COUNTIFS('Daily log'!$A$6:$A$405,"&gt;="&amp;A17,'Daily log'!$A$6:$A$405,"&lt;"&amp;A17+7,'Daily log'!$H$6:$H$405,"Yellow")</f>
        <v>0</v>
      </c>
      <c r="E17" s="16" t="n">
        <f aca="false">COUNTIFS('Daily log'!$A$6:$A$405,"&gt;="&amp;A17,'Daily log'!$A$6:$A$405,"&lt;"&amp;A17+7,'Daily log'!$H$6:$H$405,"Bad")</f>
        <v>0</v>
      </c>
      <c r="F17" s="18" t="str">
        <f aca="false">IF(E17&gt;=2,"yes","no")</f>
        <v>no</v>
      </c>
      <c r="G17" s="16" t="str">
        <f aca="false">IF(E17&gt;=2,ROUNDDOWN(B17*0.6,0),"")</f>
        <v/>
      </c>
      <c r="H17" s="14"/>
    </row>
    <row r="18" customFormat="false" ht="15" hidden="false" customHeight="false" outlineLevel="0" collapsed="false">
      <c r="A18" s="17" t="n">
        <f aca="false">A17+7</f>
        <v>46111</v>
      </c>
      <c r="B18" s="16" t="n">
        <f aca="false">SUMIFS('Training log'!$J$6:$J$1505,'Training log'!$K$6:$K$1505,A18)</f>
        <v>0</v>
      </c>
      <c r="C18" s="16" t="n">
        <f aca="false">COUNTIFS('Daily log'!$A$6:$A$405,"&gt;="&amp;A18,'Daily log'!$A$6:$A$405,"&lt;"&amp;A18+7)</f>
        <v>0</v>
      </c>
      <c r="D18" s="16" t="n">
        <f aca="false">COUNTIFS('Daily log'!$A$6:$A$405,"&gt;="&amp;A18,'Daily log'!$A$6:$A$405,"&lt;"&amp;A18+7,'Daily log'!$H$6:$H$405,"Yellow")</f>
        <v>0</v>
      </c>
      <c r="E18" s="16" t="n">
        <f aca="false">COUNTIFS('Daily log'!$A$6:$A$405,"&gt;="&amp;A18,'Daily log'!$A$6:$A$405,"&lt;"&amp;A18+7,'Daily log'!$H$6:$H$405,"Bad")</f>
        <v>0</v>
      </c>
      <c r="F18" s="18" t="str">
        <f aca="false">IF(E18&gt;=2,"yes","no")</f>
        <v>no</v>
      </c>
      <c r="G18" s="16" t="str">
        <f aca="false">IF(E18&gt;=2,ROUNDDOWN(B18*0.6,0),"")</f>
        <v/>
      </c>
      <c r="H18" s="14"/>
    </row>
    <row r="19" customFormat="false" ht="15" hidden="false" customHeight="false" outlineLevel="0" collapsed="false">
      <c r="A19" s="17" t="n">
        <f aca="false">A18+7</f>
        <v>46118</v>
      </c>
      <c r="B19" s="16" t="n">
        <f aca="false">SUMIFS('Training log'!$J$6:$J$1505,'Training log'!$K$6:$K$1505,A19)</f>
        <v>0</v>
      </c>
      <c r="C19" s="16" t="n">
        <f aca="false">COUNTIFS('Daily log'!$A$6:$A$405,"&gt;="&amp;A19,'Daily log'!$A$6:$A$405,"&lt;"&amp;A19+7)</f>
        <v>0</v>
      </c>
      <c r="D19" s="16" t="n">
        <f aca="false">COUNTIFS('Daily log'!$A$6:$A$405,"&gt;="&amp;A19,'Daily log'!$A$6:$A$405,"&lt;"&amp;A19+7,'Daily log'!$H$6:$H$405,"Yellow")</f>
        <v>0</v>
      </c>
      <c r="E19" s="16" t="n">
        <f aca="false">COUNTIFS('Daily log'!$A$6:$A$405,"&gt;="&amp;A19,'Daily log'!$A$6:$A$405,"&lt;"&amp;A19+7,'Daily log'!$H$6:$H$405,"Bad")</f>
        <v>0</v>
      </c>
      <c r="F19" s="18" t="str">
        <f aca="false">IF(E19&gt;=2,"yes","no")</f>
        <v>no</v>
      </c>
      <c r="G19" s="16" t="str">
        <f aca="false">IF(E19&gt;=2,ROUNDDOWN(B19*0.6,0),"")</f>
        <v/>
      </c>
      <c r="H19" s="14"/>
    </row>
    <row r="20" customFormat="false" ht="15" hidden="false" customHeight="false" outlineLevel="0" collapsed="false">
      <c r="A20" s="17" t="n">
        <f aca="false">A19+7</f>
        <v>46125</v>
      </c>
      <c r="B20" s="16" t="n">
        <f aca="false">SUMIFS('Training log'!$J$6:$J$1505,'Training log'!$K$6:$K$1505,A20)</f>
        <v>0</v>
      </c>
      <c r="C20" s="16" t="n">
        <f aca="false">COUNTIFS('Daily log'!$A$6:$A$405,"&gt;="&amp;A20,'Daily log'!$A$6:$A$405,"&lt;"&amp;A20+7)</f>
        <v>0</v>
      </c>
      <c r="D20" s="16" t="n">
        <f aca="false">COUNTIFS('Daily log'!$A$6:$A$405,"&gt;="&amp;A20,'Daily log'!$A$6:$A$405,"&lt;"&amp;A20+7,'Daily log'!$H$6:$H$405,"Yellow")</f>
        <v>0</v>
      </c>
      <c r="E20" s="16" t="n">
        <f aca="false">COUNTIFS('Daily log'!$A$6:$A$405,"&gt;="&amp;A20,'Daily log'!$A$6:$A$405,"&lt;"&amp;A20+7,'Daily log'!$H$6:$H$405,"Bad")</f>
        <v>0</v>
      </c>
      <c r="F20" s="18" t="str">
        <f aca="false">IF(E20&gt;=2,"yes","no")</f>
        <v>no</v>
      </c>
      <c r="G20" s="16" t="str">
        <f aca="false">IF(E20&gt;=2,ROUNDDOWN(B20*0.6,0),"")</f>
        <v/>
      </c>
      <c r="H20" s="14"/>
    </row>
    <row r="21" customFormat="false" ht="15" hidden="false" customHeight="false" outlineLevel="0" collapsed="false">
      <c r="A21" s="17" t="n">
        <f aca="false">A20+7</f>
        <v>46132</v>
      </c>
      <c r="B21" s="16" t="n">
        <f aca="false">SUMIFS('Training log'!$J$6:$J$1505,'Training log'!$K$6:$K$1505,A21)</f>
        <v>0</v>
      </c>
      <c r="C21" s="16" t="n">
        <f aca="false">COUNTIFS('Daily log'!$A$6:$A$405,"&gt;="&amp;A21,'Daily log'!$A$6:$A$405,"&lt;"&amp;A21+7)</f>
        <v>0</v>
      </c>
      <c r="D21" s="16" t="n">
        <f aca="false">COUNTIFS('Daily log'!$A$6:$A$405,"&gt;="&amp;A21,'Daily log'!$A$6:$A$405,"&lt;"&amp;A21+7,'Daily log'!$H$6:$H$405,"Yellow")</f>
        <v>0</v>
      </c>
      <c r="E21" s="16" t="n">
        <f aca="false">COUNTIFS('Daily log'!$A$6:$A$405,"&gt;="&amp;A21,'Daily log'!$A$6:$A$405,"&lt;"&amp;A21+7,'Daily log'!$H$6:$H$405,"Bad")</f>
        <v>0</v>
      </c>
      <c r="F21" s="18" t="str">
        <f aca="false">IF(E21&gt;=2,"yes","no")</f>
        <v>no</v>
      </c>
      <c r="G21" s="16" t="str">
        <f aca="false">IF(E21&gt;=2,ROUNDDOWN(B21*0.6,0),"")</f>
        <v/>
      </c>
      <c r="H21" s="14"/>
    </row>
    <row r="22" customFormat="false" ht="15" hidden="false" customHeight="false" outlineLevel="0" collapsed="false">
      <c r="A22" s="17" t="n">
        <f aca="false">A21+7</f>
        <v>46139</v>
      </c>
      <c r="B22" s="16" t="n">
        <f aca="false">SUMIFS('Training log'!$J$6:$J$1505,'Training log'!$K$6:$K$1505,A22)</f>
        <v>0</v>
      </c>
      <c r="C22" s="16" t="n">
        <f aca="false">COUNTIFS('Daily log'!$A$6:$A$405,"&gt;="&amp;A22,'Daily log'!$A$6:$A$405,"&lt;"&amp;A22+7)</f>
        <v>0</v>
      </c>
      <c r="D22" s="16" t="n">
        <f aca="false">COUNTIFS('Daily log'!$A$6:$A$405,"&gt;="&amp;A22,'Daily log'!$A$6:$A$405,"&lt;"&amp;A22+7,'Daily log'!$H$6:$H$405,"Yellow")</f>
        <v>0</v>
      </c>
      <c r="E22" s="16" t="n">
        <f aca="false">COUNTIFS('Daily log'!$A$6:$A$405,"&gt;="&amp;A22,'Daily log'!$A$6:$A$405,"&lt;"&amp;A22+7,'Daily log'!$H$6:$H$405,"Bad")</f>
        <v>0</v>
      </c>
      <c r="F22" s="18" t="str">
        <f aca="false">IF(E22&gt;=2,"yes","no")</f>
        <v>no</v>
      </c>
      <c r="G22" s="16" t="str">
        <f aca="false">IF(E22&gt;=2,ROUNDDOWN(B22*0.6,0),"")</f>
        <v/>
      </c>
      <c r="H22" s="14"/>
    </row>
    <row r="23" customFormat="false" ht="15" hidden="false" customHeight="false" outlineLevel="0" collapsed="false">
      <c r="A23" s="17" t="n">
        <f aca="false">A22+7</f>
        <v>46146</v>
      </c>
      <c r="B23" s="16" t="n">
        <f aca="false">SUMIFS('Training log'!$J$6:$J$1505,'Training log'!$K$6:$K$1505,A23)</f>
        <v>0</v>
      </c>
      <c r="C23" s="16" t="n">
        <f aca="false">COUNTIFS('Daily log'!$A$6:$A$405,"&gt;="&amp;A23,'Daily log'!$A$6:$A$405,"&lt;"&amp;A23+7)</f>
        <v>0</v>
      </c>
      <c r="D23" s="16" t="n">
        <f aca="false">COUNTIFS('Daily log'!$A$6:$A$405,"&gt;="&amp;A23,'Daily log'!$A$6:$A$405,"&lt;"&amp;A23+7,'Daily log'!$H$6:$H$405,"Yellow")</f>
        <v>0</v>
      </c>
      <c r="E23" s="16" t="n">
        <f aca="false">COUNTIFS('Daily log'!$A$6:$A$405,"&gt;="&amp;A23,'Daily log'!$A$6:$A$405,"&lt;"&amp;A23+7,'Daily log'!$H$6:$H$405,"Bad")</f>
        <v>0</v>
      </c>
      <c r="F23" s="18" t="str">
        <f aca="false">IF(E23&gt;=2,"yes","no")</f>
        <v>no</v>
      </c>
      <c r="G23" s="16" t="str">
        <f aca="false">IF(E23&gt;=2,ROUNDDOWN(B23*0.6,0),"")</f>
        <v/>
      </c>
      <c r="H23" s="14"/>
    </row>
    <row r="24" customFormat="false" ht="15" hidden="false" customHeight="false" outlineLevel="0" collapsed="false">
      <c r="A24" s="17" t="n">
        <f aca="false">A23+7</f>
        <v>46153</v>
      </c>
      <c r="B24" s="16" t="n">
        <f aca="false">SUMIFS('Training log'!$J$6:$J$1505,'Training log'!$K$6:$K$1505,A24)</f>
        <v>0</v>
      </c>
      <c r="C24" s="16" t="n">
        <f aca="false">COUNTIFS('Daily log'!$A$6:$A$405,"&gt;="&amp;A24,'Daily log'!$A$6:$A$405,"&lt;"&amp;A24+7)</f>
        <v>0</v>
      </c>
      <c r="D24" s="16" t="n">
        <f aca="false">COUNTIFS('Daily log'!$A$6:$A$405,"&gt;="&amp;A24,'Daily log'!$A$6:$A$405,"&lt;"&amp;A24+7,'Daily log'!$H$6:$H$405,"Yellow")</f>
        <v>0</v>
      </c>
      <c r="E24" s="16" t="n">
        <f aca="false">COUNTIFS('Daily log'!$A$6:$A$405,"&gt;="&amp;A24,'Daily log'!$A$6:$A$405,"&lt;"&amp;A24+7,'Daily log'!$H$6:$H$405,"Bad")</f>
        <v>0</v>
      </c>
      <c r="F24" s="18" t="str">
        <f aca="false">IF(E24&gt;=2,"yes","no")</f>
        <v>no</v>
      </c>
      <c r="G24" s="16" t="str">
        <f aca="false">IF(E24&gt;=2,ROUNDDOWN(B24*0.6,0),"")</f>
        <v/>
      </c>
      <c r="H24" s="14"/>
    </row>
    <row r="25" customFormat="false" ht="15" hidden="false" customHeight="false" outlineLevel="0" collapsed="false">
      <c r="A25" s="17" t="n">
        <f aca="false">A24+7</f>
        <v>46160</v>
      </c>
      <c r="B25" s="16" t="n">
        <f aca="false">SUMIFS('Training log'!$J$6:$J$1505,'Training log'!$K$6:$K$1505,A25)</f>
        <v>0</v>
      </c>
      <c r="C25" s="16" t="n">
        <f aca="false">COUNTIFS('Daily log'!$A$6:$A$405,"&gt;="&amp;A25,'Daily log'!$A$6:$A$405,"&lt;"&amp;A25+7)</f>
        <v>0</v>
      </c>
      <c r="D25" s="16" t="n">
        <f aca="false">COUNTIFS('Daily log'!$A$6:$A$405,"&gt;="&amp;A25,'Daily log'!$A$6:$A$405,"&lt;"&amp;A25+7,'Daily log'!$H$6:$H$405,"Yellow")</f>
        <v>0</v>
      </c>
      <c r="E25" s="16" t="n">
        <f aca="false">COUNTIFS('Daily log'!$A$6:$A$405,"&gt;="&amp;A25,'Daily log'!$A$6:$A$405,"&lt;"&amp;A25+7,'Daily log'!$H$6:$H$405,"Bad")</f>
        <v>0</v>
      </c>
      <c r="F25" s="18" t="str">
        <f aca="false">IF(E25&gt;=2,"yes","no")</f>
        <v>no</v>
      </c>
      <c r="G25" s="16" t="str">
        <f aca="false">IF(E25&gt;=2,ROUNDDOWN(B25*0.6,0),"")</f>
        <v/>
      </c>
      <c r="H25" s="14"/>
    </row>
    <row r="26" customFormat="false" ht="15" hidden="false" customHeight="false" outlineLevel="0" collapsed="false">
      <c r="A26" s="17" t="n">
        <f aca="false">A25+7</f>
        <v>46167</v>
      </c>
      <c r="B26" s="16" t="n">
        <f aca="false">SUMIFS('Training log'!$J$6:$J$1505,'Training log'!$K$6:$K$1505,A26)</f>
        <v>0</v>
      </c>
      <c r="C26" s="16" t="n">
        <f aca="false">COUNTIFS('Daily log'!$A$6:$A$405,"&gt;="&amp;A26,'Daily log'!$A$6:$A$405,"&lt;"&amp;A26+7)</f>
        <v>0</v>
      </c>
      <c r="D26" s="16" t="n">
        <f aca="false">COUNTIFS('Daily log'!$A$6:$A$405,"&gt;="&amp;A26,'Daily log'!$A$6:$A$405,"&lt;"&amp;A26+7,'Daily log'!$H$6:$H$405,"Yellow")</f>
        <v>0</v>
      </c>
      <c r="E26" s="16" t="n">
        <f aca="false">COUNTIFS('Daily log'!$A$6:$A$405,"&gt;="&amp;A26,'Daily log'!$A$6:$A$405,"&lt;"&amp;A26+7,'Daily log'!$H$6:$H$405,"Bad")</f>
        <v>0</v>
      </c>
      <c r="F26" s="18" t="str">
        <f aca="false">IF(E26&gt;=2,"yes","no")</f>
        <v>no</v>
      </c>
      <c r="G26" s="16" t="str">
        <f aca="false">IF(E26&gt;=2,ROUNDDOWN(B26*0.6,0),"")</f>
        <v/>
      </c>
      <c r="H26" s="14"/>
    </row>
    <row r="27" customFormat="false" ht="15" hidden="false" customHeight="false" outlineLevel="0" collapsed="false">
      <c r="A27" s="17" t="n">
        <f aca="false">A26+7</f>
        <v>46174</v>
      </c>
      <c r="B27" s="16" t="n">
        <f aca="false">SUMIFS('Training log'!$J$6:$J$1505,'Training log'!$K$6:$K$1505,A27)</f>
        <v>0</v>
      </c>
      <c r="C27" s="16" t="n">
        <f aca="false">COUNTIFS('Daily log'!$A$6:$A$405,"&gt;="&amp;A27,'Daily log'!$A$6:$A$405,"&lt;"&amp;A27+7)</f>
        <v>0</v>
      </c>
      <c r="D27" s="16" t="n">
        <f aca="false">COUNTIFS('Daily log'!$A$6:$A$405,"&gt;="&amp;A27,'Daily log'!$A$6:$A$405,"&lt;"&amp;A27+7,'Daily log'!$H$6:$H$405,"Yellow")</f>
        <v>0</v>
      </c>
      <c r="E27" s="16" t="n">
        <f aca="false">COUNTIFS('Daily log'!$A$6:$A$405,"&gt;="&amp;A27,'Daily log'!$A$6:$A$405,"&lt;"&amp;A27+7,'Daily log'!$H$6:$H$405,"Bad")</f>
        <v>0</v>
      </c>
      <c r="F27" s="18" t="str">
        <f aca="false">IF(E27&gt;=2,"yes","no")</f>
        <v>no</v>
      </c>
      <c r="G27" s="16" t="str">
        <f aca="false">IF(E27&gt;=2,ROUNDDOWN(B27*0.6,0),"")</f>
        <v/>
      </c>
      <c r="H27" s="14"/>
    </row>
    <row r="28" customFormat="false" ht="15" hidden="false" customHeight="false" outlineLevel="0" collapsed="false">
      <c r="A28" s="17" t="n">
        <f aca="false">A27+7</f>
        <v>46181</v>
      </c>
      <c r="B28" s="16" t="n">
        <f aca="false">SUMIFS('Training log'!$J$6:$J$1505,'Training log'!$K$6:$K$1505,A28)</f>
        <v>0</v>
      </c>
      <c r="C28" s="16" t="n">
        <f aca="false">COUNTIFS('Daily log'!$A$6:$A$405,"&gt;="&amp;A28,'Daily log'!$A$6:$A$405,"&lt;"&amp;A28+7)</f>
        <v>0</v>
      </c>
      <c r="D28" s="16" t="n">
        <f aca="false">COUNTIFS('Daily log'!$A$6:$A$405,"&gt;="&amp;A28,'Daily log'!$A$6:$A$405,"&lt;"&amp;A28+7,'Daily log'!$H$6:$H$405,"Yellow")</f>
        <v>0</v>
      </c>
      <c r="E28" s="16" t="n">
        <f aca="false">COUNTIFS('Daily log'!$A$6:$A$405,"&gt;="&amp;A28,'Daily log'!$A$6:$A$405,"&lt;"&amp;A28+7,'Daily log'!$H$6:$H$405,"Bad")</f>
        <v>0</v>
      </c>
      <c r="F28" s="18" t="str">
        <f aca="false">IF(E28&gt;=2,"yes","no")</f>
        <v>no</v>
      </c>
      <c r="G28" s="16" t="str">
        <f aca="false">IF(E28&gt;=2,ROUNDDOWN(B28*0.6,0),"")</f>
        <v/>
      </c>
      <c r="H28" s="14"/>
    </row>
    <row r="29" customFormat="false" ht="15" hidden="false" customHeight="false" outlineLevel="0" collapsed="false">
      <c r="A29" s="17" t="n">
        <f aca="false">A28+7</f>
        <v>46188</v>
      </c>
      <c r="B29" s="16" t="n">
        <f aca="false">SUMIFS('Training log'!$J$6:$J$1505,'Training log'!$K$6:$K$1505,A29)</f>
        <v>0</v>
      </c>
      <c r="C29" s="16" t="n">
        <f aca="false">COUNTIFS('Daily log'!$A$6:$A$405,"&gt;="&amp;A29,'Daily log'!$A$6:$A$405,"&lt;"&amp;A29+7)</f>
        <v>0</v>
      </c>
      <c r="D29" s="16" t="n">
        <f aca="false">COUNTIFS('Daily log'!$A$6:$A$405,"&gt;="&amp;A29,'Daily log'!$A$6:$A$405,"&lt;"&amp;A29+7,'Daily log'!$H$6:$H$405,"Yellow")</f>
        <v>0</v>
      </c>
      <c r="E29" s="16" t="n">
        <f aca="false">COUNTIFS('Daily log'!$A$6:$A$405,"&gt;="&amp;A29,'Daily log'!$A$6:$A$405,"&lt;"&amp;A29+7,'Daily log'!$H$6:$H$405,"Bad")</f>
        <v>0</v>
      </c>
      <c r="F29" s="18" t="str">
        <f aca="false">IF(E29&gt;=2,"yes","no")</f>
        <v>no</v>
      </c>
      <c r="G29" s="16" t="str">
        <f aca="false">IF(E29&gt;=2,ROUNDDOWN(B29*0.6,0),"")</f>
        <v/>
      </c>
      <c r="H29" s="14"/>
    </row>
    <row r="30" customFormat="false" ht="15" hidden="false" customHeight="false" outlineLevel="0" collapsed="false">
      <c r="A30" s="17" t="n">
        <f aca="false">A29+7</f>
        <v>46195</v>
      </c>
      <c r="B30" s="16" t="n">
        <f aca="false">SUMIFS('Training log'!$J$6:$J$1505,'Training log'!$K$6:$K$1505,A30)</f>
        <v>0</v>
      </c>
      <c r="C30" s="16" t="n">
        <f aca="false">COUNTIFS('Daily log'!$A$6:$A$405,"&gt;="&amp;A30,'Daily log'!$A$6:$A$405,"&lt;"&amp;A30+7)</f>
        <v>0</v>
      </c>
      <c r="D30" s="16" t="n">
        <f aca="false">COUNTIFS('Daily log'!$A$6:$A$405,"&gt;="&amp;A30,'Daily log'!$A$6:$A$405,"&lt;"&amp;A30+7,'Daily log'!$H$6:$H$405,"Yellow")</f>
        <v>0</v>
      </c>
      <c r="E30" s="16" t="n">
        <f aca="false">COUNTIFS('Daily log'!$A$6:$A$405,"&gt;="&amp;A30,'Daily log'!$A$6:$A$405,"&lt;"&amp;A30+7,'Daily log'!$H$6:$H$405,"Bad")</f>
        <v>0</v>
      </c>
      <c r="F30" s="18" t="str">
        <f aca="false">IF(E30&gt;=2,"yes","no")</f>
        <v>no</v>
      </c>
      <c r="G30" s="16" t="str">
        <f aca="false">IF(E30&gt;=2,ROUNDDOWN(B30*0.6,0),"")</f>
        <v/>
      </c>
      <c r="H30" s="14"/>
    </row>
    <row r="31" customFormat="false" ht="15" hidden="false" customHeight="false" outlineLevel="0" collapsed="false">
      <c r="A31" s="17" t="n">
        <f aca="false">A30+7</f>
        <v>46202</v>
      </c>
      <c r="B31" s="16" t="n">
        <f aca="false">SUMIFS('Training log'!$J$6:$J$1505,'Training log'!$K$6:$K$1505,A31)</f>
        <v>0</v>
      </c>
      <c r="C31" s="16" t="n">
        <f aca="false">COUNTIFS('Daily log'!$A$6:$A$405,"&gt;="&amp;A31,'Daily log'!$A$6:$A$405,"&lt;"&amp;A31+7)</f>
        <v>0</v>
      </c>
      <c r="D31" s="16" t="n">
        <f aca="false">COUNTIFS('Daily log'!$A$6:$A$405,"&gt;="&amp;A31,'Daily log'!$A$6:$A$405,"&lt;"&amp;A31+7,'Daily log'!$H$6:$H$405,"Yellow")</f>
        <v>0</v>
      </c>
      <c r="E31" s="16" t="n">
        <f aca="false">COUNTIFS('Daily log'!$A$6:$A$405,"&gt;="&amp;A31,'Daily log'!$A$6:$A$405,"&lt;"&amp;A31+7,'Daily log'!$H$6:$H$405,"Bad")</f>
        <v>0</v>
      </c>
      <c r="F31" s="18" t="str">
        <f aca="false">IF(E31&gt;=2,"yes","no")</f>
        <v>no</v>
      </c>
      <c r="G31" s="16" t="str">
        <f aca="false">IF(E31&gt;=2,ROUNDDOWN(B31*0.6,0),"")</f>
        <v/>
      </c>
      <c r="H31" s="14"/>
    </row>
    <row r="32" customFormat="false" ht="15" hidden="false" customHeight="false" outlineLevel="0" collapsed="false">
      <c r="A32" s="17" t="n">
        <f aca="false">A31+7</f>
        <v>46209</v>
      </c>
      <c r="B32" s="16" t="n">
        <f aca="false">SUMIFS('Training log'!$J$6:$J$1505,'Training log'!$K$6:$K$1505,A32)</f>
        <v>0</v>
      </c>
      <c r="C32" s="16" t="n">
        <f aca="false">COUNTIFS('Daily log'!$A$6:$A$405,"&gt;="&amp;A32,'Daily log'!$A$6:$A$405,"&lt;"&amp;A32+7)</f>
        <v>0</v>
      </c>
      <c r="D32" s="16" t="n">
        <f aca="false">COUNTIFS('Daily log'!$A$6:$A$405,"&gt;="&amp;A32,'Daily log'!$A$6:$A$405,"&lt;"&amp;A32+7,'Daily log'!$H$6:$H$405,"Yellow")</f>
        <v>0</v>
      </c>
      <c r="E32" s="16" t="n">
        <f aca="false">COUNTIFS('Daily log'!$A$6:$A$405,"&gt;="&amp;A32,'Daily log'!$A$6:$A$405,"&lt;"&amp;A32+7,'Daily log'!$H$6:$H$405,"Bad")</f>
        <v>0</v>
      </c>
      <c r="F32" s="18" t="str">
        <f aca="false">IF(E32&gt;=2,"yes","no")</f>
        <v>no</v>
      </c>
      <c r="G32" s="16" t="str">
        <f aca="false">IF(E32&gt;=2,ROUNDDOWN(B32*0.6,0),"")</f>
        <v/>
      </c>
      <c r="H32" s="14"/>
    </row>
    <row r="33" customFormat="false" ht="15" hidden="false" customHeight="false" outlineLevel="0" collapsed="false">
      <c r="A33" s="17" t="n">
        <f aca="false">A32+7</f>
        <v>46216</v>
      </c>
      <c r="B33" s="16" t="n">
        <f aca="false">SUMIFS('Training log'!$J$6:$J$1505,'Training log'!$K$6:$K$1505,A33)</f>
        <v>0</v>
      </c>
      <c r="C33" s="16" t="n">
        <f aca="false">COUNTIFS('Daily log'!$A$6:$A$405,"&gt;="&amp;A33,'Daily log'!$A$6:$A$405,"&lt;"&amp;A33+7)</f>
        <v>0</v>
      </c>
      <c r="D33" s="16" t="n">
        <f aca="false">COUNTIFS('Daily log'!$A$6:$A$405,"&gt;="&amp;A33,'Daily log'!$A$6:$A$405,"&lt;"&amp;A33+7,'Daily log'!$H$6:$H$405,"Yellow")</f>
        <v>0</v>
      </c>
      <c r="E33" s="16" t="n">
        <f aca="false">COUNTIFS('Daily log'!$A$6:$A$405,"&gt;="&amp;A33,'Daily log'!$A$6:$A$405,"&lt;"&amp;A33+7,'Daily log'!$H$6:$H$405,"Bad")</f>
        <v>0</v>
      </c>
      <c r="F33" s="18" t="str">
        <f aca="false">IF(E33&gt;=2,"yes","no")</f>
        <v>no</v>
      </c>
      <c r="G33" s="16" t="str">
        <f aca="false">IF(E33&gt;=2,ROUNDDOWN(B33*0.6,0),"")</f>
        <v/>
      </c>
      <c r="H33" s="14"/>
    </row>
    <row r="34" customFormat="false" ht="15" hidden="false" customHeight="false" outlineLevel="0" collapsed="false">
      <c r="A34" s="17" t="n">
        <f aca="false">A33+7</f>
        <v>46223</v>
      </c>
      <c r="B34" s="16" t="n">
        <f aca="false">SUMIFS('Training log'!$J$6:$J$1505,'Training log'!$K$6:$K$1505,A34)</f>
        <v>0</v>
      </c>
      <c r="C34" s="16" t="n">
        <f aca="false">COUNTIFS('Daily log'!$A$6:$A$405,"&gt;="&amp;A34,'Daily log'!$A$6:$A$405,"&lt;"&amp;A34+7)</f>
        <v>0</v>
      </c>
      <c r="D34" s="16" t="n">
        <f aca="false">COUNTIFS('Daily log'!$A$6:$A$405,"&gt;="&amp;A34,'Daily log'!$A$6:$A$405,"&lt;"&amp;A34+7,'Daily log'!$H$6:$H$405,"Yellow")</f>
        <v>0</v>
      </c>
      <c r="E34" s="16" t="n">
        <f aca="false">COUNTIFS('Daily log'!$A$6:$A$405,"&gt;="&amp;A34,'Daily log'!$A$6:$A$405,"&lt;"&amp;A34+7,'Daily log'!$H$6:$H$405,"Bad")</f>
        <v>0</v>
      </c>
      <c r="F34" s="18" t="str">
        <f aca="false">IF(E34&gt;=2,"yes","no")</f>
        <v>no</v>
      </c>
      <c r="G34" s="16" t="str">
        <f aca="false">IF(E34&gt;=2,ROUNDDOWN(B34*0.6,0),"")</f>
        <v/>
      </c>
      <c r="H34" s="14"/>
    </row>
    <row r="35" customFormat="false" ht="15" hidden="false" customHeight="false" outlineLevel="0" collapsed="false">
      <c r="A35" s="17" t="n">
        <f aca="false">A34+7</f>
        <v>46230</v>
      </c>
      <c r="B35" s="16" t="n">
        <f aca="false">SUMIFS('Training log'!$J$6:$J$1505,'Training log'!$K$6:$K$1505,A35)</f>
        <v>0</v>
      </c>
      <c r="C35" s="16" t="n">
        <f aca="false">COUNTIFS('Daily log'!$A$6:$A$405,"&gt;="&amp;A35,'Daily log'!$A$6:$A$405,"&lt;"&amp;A35+7)</f>
        <v>0</v>
      </c>
      <c r="D35" s="16" t="n">
        <f aca="false">COUNTIFS('Daily log'!$A$6:$A$405,"&gt;="&amp;A35,'Daily log'!$A$6:$A$405,"&lt;"&amp;A35+7,'Daily log'!$H$6:$H$405,"Yellow")</f>
        <v>0</v>
      </c>
      <c r="E35" s="16" t="n">
        <f aca="false">COUNTIFS('Daily log'!$A$6:$A$405,"&gt;="&amp;A35,'Daily log'!$A$6:$A$405,"&lt;"&amp;A35+7,'Daily log'!$H$6:$H$405,"Bad")</f>
        <v>0</v>
      </c>
      <c r="F35" s="18" t="str">
        <f aca="false">IF(E35&gt;=2,"yes","no")</f>
        <v>no</v>
      </c>
      <c r="G35" s="16" t="str">
        <f aca="false">IF(E35&gt;=2,ROUNDDOWN(B35*0.6,0),"")</f>
        <v/>
      </c>
      <c r="H35" s="14"/>
    </row>
    <row r="36" customFormat="false" ht="15" hidden="false" customHeight="false" outlineLevel="0" collapsed="false">
      <c r="A36" s="17" t="n">
        <f aca="false">A35+7</f>
        <v>46237</v>
      </c>
      <c r="B36" s="16" t="n">
        <f aca="false">SUMIFS('Training log'!$J$6:$J$1505,'Training log'!$K$6:$K$1505,A36)</f>
        <v>0</v>
      </c>
      <c r="C36" s="16" t="n">
        <f aca="false">COUNTIFS('Daily log'!$A$6:$A$405,"&gt;="&amp;A36,'Daily log'!$A$6:$A$405,"&lt;"&amp;A36+7)</f>
        <v>0</v>
      </c>
      <c r="D36" s="16" t="n">
        <f aca="false">COUNTIFS('Daily log'!$A$6:$A$405,"&gt;="&amp;A36,'Daily log'!$A$6:$A$405,"&lt;"&amp;A36+7,'Daily log'!$H$6:$H$405,"Yellow")</f>
        <v>0</v>
      </c>
      <c r="E36" s="16" t="n">
        <f aca="false">COUNTIFS('Daily log'!$A$6:$A$405,"&gt;="&amp;A36,'Daily log'!$A$6:$A$405,"&lt;"&amp;A36+7,'Daily log'!$H$6:$H$405,"Bad")</f>
        <v>0</v>
      </c>
      <c r="F36" s="18" t="str">
        <f aca="false">IF(E36&gt;=2,"yes","no")</f>
        <v>no</v>
      </c>
      <c r="G36" s="16" t="str">
        <f aca="false">IF(E36&gt;=2,ROUNDDOWN(B36*0.6,0),"")</f>
        <v/>
      </c>
      <c r="H36" s="14"/>
    </row>
    <row r="37" customFormat="false" ht="15" hidden="false" customHeight="false" outlineLevel="0" collapsed="false">
      <c r="A37" s="17" t="n">
        <f aca="false">A36+7</f>
        <v>46244</v>
      </c>
      <c r="B37" s="16" t="n">
        <f aca="false">SUMIFS('Training log'!$J$6:$J$1505,'Training log'!$K$6:$K$1505,A37)</f>
        <v>0</v>
      </c>
      <c r="C37" s="16" t="n">
        <f aca="false">COUNTIFS('Daily log'!$A$6:$A$405,"&gt;="&amp;A37,'Daily log'!$A$6:$A$405,"&lt;"&amp;A37+7)</f>
        <v>0</v>
      </c>
      <c r="D37" s="16" t="n">
        <f aca="false">COUNTIFS('Daily log'!$A$6:$A$405,"&gt;="&amp;A37,'Daily log'!$A$6:$A$405,"&lt;"&amp;A37+7,'Daily log'!$H$6:$H$405,"Yellow")</f>
        <v>0</v>
      </c>
      <c r="E37" s="16" t="n">
        <f aca="false">COUNTIFS('Daily log'!$A$6:$A$405,"&gt;="&amp;A37,'Daily log'!$A$6:$A$405,"&lt;"&amp;A37+7,'Daily log'!$H$6:$H$405,"Bad")</f>
        <v>0</v>
      </c>
      <c r="F37" s="18" t="str">
        <f aca="false">IF(E37&gt;=2,"yes","no")</f>
        <v>no</v>
      </c>
      <c r="G37" s="16" t="str">
        <f aca="false">IF(E37&gt;=2,ROUNDDOWN(B37*0.6,0),"")</f>
        <v/>
      </c>
      <c r="H37" s="14"/>
    </row>
    <row r="38" customFormat="false" ht="15" hidden="false" customHeight="false" outlineLevel="0" collapsed="false">
      <c r="A38" s="17" t="n">
        <f aca="false">A37+7</f>
        <v>46251</v>
      </c>
      <c r="B38" s="16" t="n">
        <f aca="false">SUMIFS('Training log'!$J$6:$J$1505,'Training log'!$K$6:$K$1505,A38)</f>
        <v>0</v>
      </c>
      <c r="C38" s="16" t="n">
        <f aca="false">COUNTIFS('Daily log'!$A$6:$A$405,"&gt;="&amp;A38,'Daily log'!$A$6:$A$405,"&lt;"&amp;A38+7)</f>
        <v>0</v>
      </c>
      <c r="D38" s="16" t="n">
        <f aca="false">COUNTIFS('Daily log'!$A$6:$A$405,"&gt;="&amp;A38,'Daily log'!$A$6:$A$405,"&lt;"&amp;A38+7,'Daily log'!$H$6:$H$405,"Yellow")</f>
        <v>0</v>
      </c>
      <c r="E38" s="16" t="n">
        <f aca="false">COUNTIFS('Daily log'!$A$6:$A$405,"&gt;="&amp;A38,'Daily log'!$A$6:$A$405,"&lt;"&amp;A38+7,'Daily log'!$H$6:$H$405,"Bad")</f>
        <v>0</v>
      </c>
      <c r="F38" s="18" t="str">
        <f aca="false">IF(E38&gt;=2,"yes","no")</f>
        <v>no</v>
      </c>
      <c r="G38" s="16" t="str">
        <f aca="false">IF(E38&gt;=2,ROUNDDOWN(B38*0.6,0),"")</f>
        <v/>
      </c>
      <c r="H38" s="14"/>
    </row>
    <row r="39" customFormat="false" ht="15" hidden="false" customHeight="false" outlineLevel="0" collapsed="false">
      <c r="A39" s="17" t="n">
        <f aca="false">A38+7</f>
        <v>46258</v>
      </c>
      <c r="B39" s="16" t="n">
        <f aca="false">SUMIFS('Training log'!$J$6:$J$1505,'Training log'!$K$6:$K$1505,A39)</f>
        <v>0</v>
      </c>
      <c r="C39" s="16" t="n">
        <f aca="false">COUNTIFS('Daily log'!$A$6:$A$405,"&gt;="&amp;A39,'Daily log'!$A$6:$A$405,"&lt;"&amp;A39+7)</f>
        <v>0</v>
      </c>
      <c r="D39" s="16" t="n">
        <f aca="false">COUNTIFS('Daily log'!$A$6:$A$405,"&gt;="&amp;A39,'Daily log'!$A$6:$A$405,"&lt;"&amp;A39+7,'Daily log'!$H$6:$H$405,"Yellow")</f>
        <v>0</v>
      </c>
      <c r="E39" s="16" t="n">
        <f aca="false">COUNTIFS('Daily log'!$A$6:$A$405,"&gt;="&amp;A39,'Daily log'!$A$6:$A$405,"&lt;"&amp;A39+7,'Daily log'!$H$6:$H$405,"Bad")</f>
        <v>0</v>
      </c>
      <c r="F39" s="18" t="str">
        <f aca="false">IF(E39&gt;=2,"yes","no")</f>
        <v>no</v>
      </c>
      <c r="G39" s="16" t="str">
        <f aca="false">IF(E39&gt;=2,ROUNDDOWN(B39*0.6,0),"")</f>
        <v/>
      </c>
      <c r="H39" s="14"/>
    </row>
    <row r="40" customFormat="false" ht="15" hidden="false" customHeight="false" outlineLevel="0" collapsed="false">
      <c r="A40" s="17" t="n">
        <f aca="false">A39+7</f>
        <v>46265</v>
      </c>
      <c r="B40" s="16" t="n">
        <f aca="false">SUMIFS('Training log'!$J$6:$J$1505,'Training log'!$K$6:$K$1505,A40)</f>
        <v>0</v>
      </c>
      <c r="C40" s="16" t="n">
        <f aca="false">COUNTIFS('Daily log'!$A$6:$A$405,"&gt;="&amp;A40,'Daily log'!$A$6:$A$405,"&lt;"&amp;A40+7)</f>
        <v>0</v>
      </c>
      <c r="D40" s="16" t="n">
        <f aca="false">COUNTIFS('Daily log'!$A$6:$A$405,"&gt;="&amp;A40,'Daily log'!$A$6:$A$405,"&lt;"&amp;A40+7,'Daily log'!$H$6:$H$405,"Yellow")</f>
        <v>0</v>
      </c>
      <c r="E40" s="16" t="n">
        <f aca="false">COUNTIFS('Daily log'!$A$6:$A$405,"&gt;="&amp;A40,'Daily log'!$A$6:$A$405,"&lt;"&amp;A40+7,'Daily log'!$H$6:$H$405,"Bad")</f>
        <v>0</v>
      </c>
      <c r="F40" s="18" t="str">
        <f aca="false">IF(E40&gt;=2,"yes","no")</f>
        <v>no</v>
      </c>
      <c r="G40" s="16" t="str">
        <f aca="false">IF(E40&gt;=2,ROUNDDOWN(B40*0.6,0),"")</f>
        <v/>
      </c>
      <c r="H40" s="14"/>
    </row>
    <row r="41" customFormat="false" ht="15" hidden="false" customHeight="false" outlineLevel="0" collapsed="false">
      <c r="A41" s="17" t="n">
        <f aca="false">A40+7</f>
        <v>46272</v>
      </c>
      <c r="B41" s="16" t="n">
        <f aca="false">SUMIFS('Training log'!$J$6:$J$1505,'Training log'!$K$6:$K$1505,A41)</f>
        <v>0</v>
      </c>
      <c r="C41" s="16" t="n">
        <f aca="false">COUNTIFS('Daily log'!$A$6:$A$405,"&gt;="&amp;A41,'Daily log'!$A$6:$A$405,"&lt;"&amp;A41+7)</f>
        <v>0</v>
      </c>
      <c r="D41" s="16" t="n">
        <f aca="false">COUNTIFS('Daily log'!$A$6:$A$405,"&gt;="&amp;A41,'Daily log'!$A$6:$A$405,"&lt;"&amp;A41+7,'Daily log'!$H$6:$H$405,"Yellow")</f>
        <v>0</v>
      </c>
      <c r="E41" s="16" t="n">
        <f aca="false">COUNTIFS('Daily log'!$A$6:$A$405,"&gt;="&amp;A41,'Daily log'!$A$6:$A$405,"&lt;"&amp;A41+7,'Daily log'!$H$6:$H$405,"Bad")</f>
        <v>0</v>
      </c>
      <c r="F41" s="18" t="str">
        <f aca="false">IF(E41&gt;=2,"yes","no")</f>
        <v>no</v>
      </c>
      <c r="G41" s="16" t="str">
        <f aca="false">IF(E41&gt;=2,ROUNDDOWN(B41*0.6,0),"")</f>
        <v/>
      </c>
      <c r="H41" s="14"/>
    </row>
    <row r="42" customFormat="false" ht="15" hidden="false" customHeight="false" outlineLevel="0" collapsed="false">
      <c r="A42" s="17" t="n">
        <f aca="false">A41+7</f>
        <v>46279</v>
      </c>
      <c r="B42" s="16" t="n">
        <f aca="false">SUMIFS('Training log'!$J$6:$J$1505,'Training log'!$K$6:$K$1505,A42)</f>
        <v>0</v>
      </c>
      <c r="C42" s="16" t="n">
        <f aca="false">COUNTIFS('Daily log'!$A$6:$A$405,"&gt;="&amp;A42,'Daily log'!$A$6:$A$405,"&lt;"&amp;A42+7)</f>
        <v>0</v>
      </c>
      <c r="D42" s="16" t="n">
        <f aca="false">COUNTIFS('Daily log'!$A$6:$A$405,"&gt;="&amp;A42,'Daily log'!$A$6:$A$405,"&lt;"&amp;A42+7,'Daily log'!$H$6:$H$405,"Yellow")</f>
        <v>0</v>
      </c>
      <c r="E42" s="16" t="n">
        <f aca="false">COUNTIFS('Daily log'!$A$6:$A$405,"&gt;="&amp;A42,'Daily log'!$A$6:$A$405,"&lt;"&amp;A42+7,'Daily log'!$H$6:$H$405,"Bad")</f>
        <v>0</v>
      </c>
      <c r="F42" s="18" t="str">
        <f aca="false">IF(E42&gt;=2,"yes","no")</f>
        <v>no</v>
      </c>
      <c r="G42" s="16" t="str">
        <f aca="false">IF(E42&gt;=2,ROUNDDOWN(B42*0.6,0),"")</f>
        <v/>
      </c>
      <c r="H42" s="14"/>
    </row>
    <row r="43" customFormat="false" ht="15" hidden="false" customHeight="false" outlineLevel="0" collapsed="false">
      <c r="A43" s="17" t="n">
        <f aca="false">A42+7</f>
        <v>46286</v>
      </c>
      <c r="B43" s="16" t="n">
        <f aca="false">SUMIFS('Training log'!$J$6:$J$1505,'Training log'!$K$6:$K$1505,A43)</f>
        <v>0</v>
      </c>
      <c r="C43" s="16" t="n">
        <f aca="false">COUNTIFS('Daily log'!$A$6:$A$405,"&gt;="&amp;A43,'Daily log'!$A$6:$A$405,"&lt;"&amp;A43+7)</f>
        <v>0</v>
      </c>
      <c r="D43" s="16" t="n">
        <f aca="false">COUNTIFS('Daily log'!$A$6:$A$405,"&gt;="&amp;A43,'Daily log'!$A$6:$A$405,"&lt;"&amp;A43+7,'Daily log'!$H$6:$H$405,"Yellow")</f>
        <v>0</v>
      </c>
      <c r="E43" s="16" t="n">
        <f aca="false">COUNTIFS('Daily log'!$A$6:$A$405,"&gt;="&amp;A43,'Daily log'!$A$6:$A$405,"&lt;"&amp;A43+7,'Daily log'!$H$6:$H$405,"Bad")</f>
        <v>0</v>
      </c>
      <c r="F43" s="18" t="str">
        <f aca="false">IF(E43&gt;=2,"yes","no")</f>
        <v>no</v>
      </c>
      <c r="G43" s="16" t="str">
        <f aca="false">IF(E43&gt;=2,ROUNDDOWN(B43*0.6,0),"")</f>
        <v/>
      </c>
      <c r="H43" s="14"/>
    </row>
    <row r="44" customFormat="false" ht="15" hidden="false" customHeight="false" outlineLevel="0" collapsed="false">
      <c r="A44" s="17" t="n">
        <f aca="false">A43+7</f>
        <v>46293</v>
      </c>
      <c r="B44" s="16" t="n">
        <f aca="false">SUMIFS('Training log'!$J$6:$J$1505,'Training log'!$K$6:$K$1505,A44)</f>
        <v>0</v>
      </c>
      <c r="C44" s="16" t="n">
        <f aca="false">COUNTIFS('Daily log'!$A$6:$A$405,"&gt;="&amp;A44,'Daily log'!$A$6:$A$405,"&lt;"&amp;A44+7)</f>
        <v>0</v>
      </c>
      <c r="D44" s="16" t="n">
        <f aca="false">COUNTIFS('Daily log'!$A$6:$A$405,"&gt;="&amp;A44,'Daily log'!$A$6:$A$405,"&lt;"&amp;A44+7,'Daily log'!$H$6:$H$405,"Yellow")</f>
        <v>0</v>
      </c>
      <c r="E44" s="16" t="n">
        <f aca="false">COUNTIFS('Daily log'!$A$6:$A$405,"&gt;="&amp;A44,'Daily log'!$A$6:$A$405,"&lt;"&amp;A44+7,'Daily log'!$H$6:$H$405,"Bad")</f>
        <v>0</v>
      </c>
      <c r="F44" s="18" t="str">
        <f aca="false">IF(E44&gt;=2,"yes","no")</f>
        <v>no</v>
      </c>
      <c r="G44" s="16" t="str">
        <f aca="false">IF(E44&gt;=2,ROUNDDOWN(B44*0.6,0),"")</f>
        <v/>
      </c>
      <c r="H44" s="14"/>
    </row>
    <row r="45" customFormat="false" ht="15" hidden="false" customHeight="false" outlineLevel="0" collapsed="false">
      <c r="A45" s="17" t="n">
        <f aca="false">A44+7</f>
        <v>46300</v>
      </c>
      <c r="B45" s="16" t="n">
        <f aca="false">SUMIFS('Training log'!$J$6:$J$1505,'Training log'!$K$6:$K$1505,A45)</f>
        <v>0</v>
      </c>
      <c r="C45" s="16" t="n">
        <f aca="false">COUNTIFS('Daily log'!$A$6:$A$405,"&gt;="&amp;A45,'Daily log'!$A$6:$A$405,"&lt;"&amp;A45+7)</f>
        <v>0</v>
      </c>
      <c r="D45" s="16" t="n">
        <f aca="false">COUNTIFS('Daily log'!$A$6:$A$405,"&gt;="&amp;A45,'Daily log'!$A$6:$A$405,"&lt;"&amp;A45+7,'Daily log'!$H$6:$H$405,"Yellow")</f>
        <v>0</v>
      </c>
      <c r="E45" s="16" t="n">
        <f aca="false">COUNTIFS('Daily log'!$A$6:$A$405,"&gt;="&amp;A45,'Daily log'!$A$6:$A$405,"&lt;"&amp;A45+7,'Daily log'!$H$6:$H$405,"Bad")</f>
        <v>0</v>
      </c>
      <c r="F45" s="18" t="str">
        <f aca="false">IF(E45&gt;=2,"yes","no")</f>
        <v>no</v>
      </c>
      <c r="G45" s="16" t="str">
        <f aca="false">IF(E45&gt;=2,ROUNDDOWN(B45*0.6,0),"")</f>
        <v/>
      </c>
      <c r="H45" s="14"/>
    </row>
    <row r="46" customFormat="false" ht="15" hidden="false" customHeight="false" outlineLevel="0" collapsed="false">
      <c r="A46" s="17" t="n">
        <f aca="false">A45+7</f>
        <v>46307</v>
      </c>
      <c r="B46" s="16" t="n">
        <f aca="false">SUMIFS('Training log'!$J$6:$J$1505,'Training log'!$K$6:$K$1505,A46)</f>
        <v>0</v>
      </c>
      <c r="C46" s="16" t="n">
        <f aca="false">COUNTIFS('Daily log'!$A$6:$A$405,"&gt;="&amp;A46,'Daily log'!$A$6:$A$405,"&lt;"&amp;A46+7)</f>
        <v>0</v>
      </c>
      <c r="D46" s="16" t="n">
        <f aca="false">COUNTIFS('Daily log'!$A$6:$A$405,"&gt;="&amp;A46,'Daily log'!$A$6:$A$405,"&lt;"&amp;A46+7,'Daily log'!$H$6:$H$405,"Yellow")</f>
        <v>0</v>
      </c>
      <c r="E46" s="16" t="n">
        <f aca="false">COUNTIFS('Daily log'!$A$6:$A$405,"&gt;="&amp;A46,'Daily log'!$A$6:$A$405,"&lt;"&amp;A46+7,'Daily log'!$H$6:$H$405,"Bad")</f>
        <v>0</v>
      </c>
      <c r="F46" s="18" t="str">
        <f aca="false">IF(E46&gt;=2,"yes","no")</f>
        <v>no</v>
      </c>
      <c r="G46" s="16" t="str">
        <f aca="false">IF(E46&gt;=2,ROUNDDOWN(B46*0.6,0),"")</f>
        <v/>
      </c>
      <c r="H46" s="14"/>
    </row>
    <row r="47" customFormat="false" ht="15" hidden="false" customHeight="false" outlineLevel="0" collapsed="false">
      <c r="A47" s="17" t="n">
        <f aca="false">A46+7</f>
        <v>46314</v>
      </c>
      <c r="B47" s="16" t="n">
        <f aca="false">SUMIFS('Training log'!$J$6:$J$1505,'Training log'!$K$6:$K$1505,A47)</f>
        <v>0</v>
      </c>
      <c r="C47" s="16" t="n">
        <f aca="false">COUNTIFS('Daily log'!$A$6:$A$405,"&gt;="&amp;A47,'Daily log'!$A$6:$A$405,"&lt;"&amp;A47+7)</f>
        <v>0</v>
      </c>
      <c r="D47" s="16" t="n">
        <f aca="false">COUNTIFS('Daily log'!$A$6:$A$405,"&gt;="&amp;A47,'Daily log'!$A$6:$A$405,"&lt;"&amp;A47+7,'Daily log'!$H$6:$H$405,"Yellow")</f>
        <v>0</v>
      </c>
      <c r="E47" s="16" t="n">
        <f aca="false">COUNTIFS('Daily log'!$A$6:$A$405,"&gt;="&amp;A47,'Daily log'!$A$6:$A$405,"&lt;"&amp;A47+7,'Daily log'!$H$6:$H$405,"Bad")</f>
        <v>0</v>
      </c>
      <c r="F47" s="18" t="str">
        <f aca="false">IF(E47&gt;=2,"yes","no")</f>
        <v>no</v>
      </c>
      <c r="G47" s="16" t="str">
        <f aca="false">IF(E47&gt;=2,ROUNDDOWN(B47*0.6,0),"")</f>
        <v/>
      </c>
      <c r="H47" s="14"/>
    </row>
    <row r="48" customFormat="false" ht="15" hidden="false" customHeight="false" outlineLevel="0" collapsed="false">
      <c r="A48" s="17" t="n">
        <f aca="false">A47+7</f>
        <v>46321</v>
      </c>
      <c r="B48" s="16" t="n">
        <f aca="false">SUMIFS('Training log'!$J$6:$J$1505,'Training log'!$K$6:$K$1505,A48)</f>
        <v>0</v>
      </c>
      <c r="C48" s="16" t="n">
        <f aca="false">COUNTIFS('Daily log'!$A$6:$A$405,"&gt;="&amp;A48,'Daily log'!$A$6:$A$405,"&lt;"&amp;A48+7)</f>
        <v>0</v>
      </c>
      <c r="D48" s="16" t="n">
        <f aca="false">COUNTIFS('Daily log'!$A$6:$A$405,"&gt;="&amp;A48,'Daily log'!$A$6:$A$405,"&lt;"&amp;A48+7,'Daily log'!$H$6:$H$405,"Yellow")</f>
        <v>0</v>
      </c>
      <c r="E48" s="16" t="n">
        <f aca="false">COUNTIFS('Daily log'!$A$6:$A$405,"&gt;="&amp;A48,'Daily log'!$A$6:$A$405,"&lt;"&amp;A48+7,'Daily log'!$H$6:$H$405,"Bad")</f>
        <v>0</v>
      </c>
      <c r="F48" s="18" t="str">
        <f aca="false">IF(E48&gt;=2,"yes","no")</f>
        <v>no</v>
      </c>
      <c r="G48" s="16" t="str">
        <f aca="false">IF(E48&gt;=2,ROUNDDOWN(B48*0.6,0),"")</f>
        <v/>
      </c>
      <c r="H48" s="14"/>
    </row>
    <row r="49" customFormat="false" ht="15" hidden="false" customHeight="false" outlineLevel="0" collapsed="false">
      <c r="A49" s="17" t="n">
        <f aca="false">A48+7</f>
        <v>46328</v>
      </c>
      <c r="B49" s="16" t="n">
        <f aca="false">SUMIFS('Training log'!$J$6:$J$1505,'Training log'!$K$6:$K$1505,A49)</f>
        <v>0</v>
      </c>
      <c r="C49" s="16" t="n">
        <f aca="false">COUNTIFS('Daily log'!$A$6:$A$405,"&gt;="&amp;A49,'Daily log'!$A$6:$A$405,"&lt;"&amp;A49+7)</f>
        <v>0</v>
      </c>
      <c r="D49" s="16" t="n">
        <f aca="false">COUNTIFS('Daily log'!$A$6:$A$405,"&gt;="&amp;A49,'Daily log'!$A$6:$A$405,"&lt;"&amp;A49+7,'Daily log'!$H$6:$H$405,"Yellow")</f>
        <v>0</v>
      </c>
      <c r="E49" s="16" t="n">
        <f aca="false">COUNTIFS('Daily log'!$A$6:$A$405,"&gt;="&amp;A49,'Daily log'!$A$6:$A$405,"&lt;"&amp;A49+7,'Daily log'!$H$6:$H$405,"Bad")</f>
        <v>0</v>
      </c>
      <c r="F49" s="18" t="str">
        <f aca="false">IF(E49&gt;=2,"yes","no")</f>
        <v>no</v>
      </c>
      <c r="G49" s="16" t="str">
        <f aca="false">IF(E49&gt;=2,ROUNDDOWN(B49*0.6,0),"")</f>
        <v/>
      </c>
      <c r="H49" s="14"/>
    </row>
    <row r="50" customFormat="false" ht="15" hidden="false" customHeight="false" outlineLevel="0" collapsed="false">
      <c r="A50" s="17" t="n">
        <f aca="false">A49+7</f>
        <v>46335</v>
      </c>
      <c r="B50" s="16" t="n">
        <f aca="false">SUMIFS('Training log'!$J$6:$J$1505,'Training log'!$K$6:$K$1505,A50)</f>
        <v>0</v>
      </c>
      <c r="C50" s="16" t="n">
        <f aca="false">COUNTIFS('Daily log'!$A$6:$A$405,"&gt;="&amp;A50,'Daily log'!$A$6:$A$405,"&lt;"&amp;A50+7)</f>
        <v>0</v>
      </c>
      <c r="D50" s="16" t="n">
        <f aca="false">COUNTIFS('Daily log'!$A$6:$A$405,"&gt;="&amp;A50,'Daily log'!$A$6:$A$405,"&lt;"&amp;A50+7,'Daily log'!$H$6:$H$405,"Yellow")</f>
        <v>0</v>
      </c>
      <c r="E50" s="16" t="n">
        <f aca="false">COUNTIFS('Daily log'!$A$6:$A$405,"&gt;="&amp;A50,'Daily log'!$A$6:$A$405,"&lt;"&amp;A50+7,'Daily log'!$H$6:$H$405,"Bad")</f>
        <v>0</v>
      </c>
      <c r="F50" s="18" t="str">
        <f aca="false">IF(E50&gt;=2,"yes","no")</f>
        <v>no</v>
      </c>
      <c r="G50" s="16" t="str">
        <f aca="false">IF(E50&gt;=2,ROUNDDOWN(B50*0.6,0),"")</f>
        <v/>
      </c>
      <c r="H50" s="14"/>
    </row>
    <row r="51" customFormat="false" ht="15" hidden="false" customHeight="false" outlineLevel="0" collapsed="false">
      <c r="A51" s="17" t="n">
        <f aca="false">A50+7</f>
        <v>46342</v>
      </c>
      <c r="B51" s="16" t="n">
        <f aca="false">SUMIFS('Training log'!$J$6:$J$1505,'Training log'!$K$6:$K$1505,A51)</f>
        <v>0</v>
      </c>
      <c r="C51" s="16" t="n">
        <f aca="false">COUNTIFS('Daily log'!$A$6:$A$405,"&gt;="&amp;A51,'Daily log'!$A$6:$A$405,"&lt;"&amp;A51+7)</f>
        <v>0</v>
      </c>
      <c r="D51" s="16" t="n">
        <f aca="false">COUNTIFS('Daily log'!$A$6:$A$405,"&gt;="&amp;A51,'Daily log'!$A$6:$A$405,"&lt;"&amp;A51+7,'Daily log'!$H$6:$H$405,"Yellow")</f>
        <v>0</v>
      </c>
      <c r="E51" s="16" t="n">
        <f aca="false">COUNTIFS('Daily log'!$A$6:$A$405,"&gt;="&amp;A51,'Daily log'!$A$6:$A$405,"&lt;"&amp;A51+7,'Daily log'!$H$6:$H$405,"Bad")</f>
        <v>0</v>
      </c>
      <c r="F51" s="18" t="str">
        <f aca="false">IF(E51&gt;=2,"yes","no")</f>
        <v>no</v>
      </c>
      <c r="G51" s="16" t="str">
        <f aca="false">IF(E51&gt;=2,ROUNDDOWN(B51*0.6,0),"")</f>
        <v/>
      </c>
      <c r="H51" s="14"/>
    </row>
    <row r="52" customFormat="false" ht="15" hidden="false" customHeight="false" outlineLevel="0" collapsed="false">
      <c r="A52" s="17" t="n">
        <f aca="false">A51+7</f>
        <v>46349</v>
      </c>
      <c r="B52" s="16" t="n">
        <f aca="false">SUMIFS('Training log'!$J$6:$J$1505,'Training log'!$K$6:$K$1505,A52)</f>
        <v>0</v>
      </c>
      <c r="C52" s="16" t="n">
        <f aca="false">COUNTIFS('Daily log'!$A$6:$A$405,"&gt;="&amp;A52,'Daily log'!$A$6:$A$405,"&lt;"&amp;A52+7)</f>
        <v>0</v>
      </c>
      <c r="D52" s="16" t="n">
        <f aca="false">COUNTIFS('Daily log'!$A$6:$A$405,"&gt;="&amp;A52,'Daily log'!$A$6:$A$405,"&lt;"&amp;A52+7,'Daily log'!$H$6:$H$405,"Yellow")</f>
        <v>0</v>
      </c>
      <c r="E52" s="16" t="n">
        <f aca="false">COUNTIFS('Daily log'!$A$6:$A$405,"&gt;="&amp;A52,'Daily log'!$A$6:$A$405,"&lt;"&amp;A52+7,'Daily log'!$H$6:$H$405,"Bad")</f>
        <v>0</v>
      </c>
      <c r="F52" s="18" t="str">
        <f aca="false">IF(E52&gt;=2,"yes","no")</f>
        <v>no</v>
      </c>
      <c r="G52" s="16" t="str">
        <f aca="false">IF(E52&gt;=2,ROUNDDOWN(B52*0.6,0),"")</f>
        <v/>
      </c>
      <c r="H52" s="14"/>
    </row>
    <row r="53" customFormat="false" ht="15" hidden="false" customHeight="false" outlineLevel="0" collapsed="false">
      <c r="A53" s="17" t="n">
        <f aca="false">A52+7</f>
        <v>46356</v>
      </c>
      <c r="B53" s="16" t="n">
        <f aca="false">SUMIFS('Training log'!$J$6:$J$1505,'Training log'!$K$6:$K$1505,A53)</f>
        <v>0</v>
      </c>
      <c r="C53" s="16" t="n">
        <f aca="false">COUNTIFS('Daily log'!$A$6:$A$405,"&gt;="&amp;A53,'Daily log'!$A$6:$A$405,"&lt;"&amp;A53+7)</f>
        <v>0</v>
      </c>
      <c r="D53" s="16" t="n">
        <f aca="false">COUNTIFS('Daily log'!$A$6:$A$405,"&gt;="&amp;A53,'Daily log'!$A$6:$A$405,"&lt;"&amp;A53+7,'Daily log'!$H$6:$H$405,"Yellow")</f>
        <v>0</v>
      </c>
      <c r="E53" s="16" t="n">
        <f aca="false">COUNTIFS('Daily log'!$A$6:$A$405,"&gt;="&amp;A53,'Daily log'!$A$6:$A$405,"&lt;"&amp;A53+7,'Daily log'!$H$6:$H$405,"Bad")</f>
        <v>0</v>
      </c>
      <c r="F53" s="18" t="str">
        <f aca="false">IF(E53&gt;=2,"yes","no")</f>
        <v>no</v>
      </c>
      <c r="G53" s="16" t="str">
        <f aca="false">IF(E53&gt;=2,ROUNDDOWN(B53*0.6,0),"")</f>
        <v/>
      </c>
      <c r="H53" s="14"/>
    </row>
    <row r="54" customFormat="false" ht="15" hidden="false" customHeight="false" outlineLevel="0" collapsed="false">
      <c r="A54" s="17" t="n">
        <f aca="false">A53+7</f>
        <v>46363</v>
      </c>
      <c r="B54" s="16" t="n">
        <f aca="false">SUMIFS('Training log'!$J$6:$J$1505,'Training log'!$K$6:$K$1505,A54)</f>
        <v>0</v>
      </c>
      <c r="C54" s="16" t="n">
        <f aca="false">COUNTIFS('Daily log'!$A$6:$A$405,"&gt;="&amp;A54,'Daily log'!$A$6:$A$405,"&lt;"&amp;A54+7)</f>
        <v>0</v>
      </c>
      <c r="D54" s="16" t="n">
        <f aca="false">COUNTIFS('Daily log'!$A$6:$A$405,"&gt;="&amp;A54,'Daily log'!$A$6:$A$405,"&lt;"&amp;A54+7,'Daily log'!$H$6:$H$405,"Yellow")</f>
        <v>0</v>
      </c>
      <c r="E54" s="16" t="n">
        <f aca="false">COUNTIFS('Daily log'!$A$6:$A$405,"&gt;="&amp;A54,'Daily log'!$A$6:$A$405,"&lt;"&amp;A54+7,'Daily log'!$H$6:$H$405,"Bad")</f>
        <v>0</v>
      </c>
      <c r="F54" s="18" t="str">
        <f aca="false">IF(E54&gt;=2,"yes","no")</f>
        <v>no</v>
      </c>
      <c r="G54" s="16" t="str">
        <f aca="false">IF(E54&gt;=2,ROUNDDOWN(B54*0.6,0),"")</f>
        <v/>
      </c>
      <c r="H54" s="14"/>
    </row>
    <row r="55" customFormat="false" ht="15" hidden="false" customHeight="false" outlineLevel="0" collapsed="false">
      <c r="A55" s="17" t="n">
        <f aca="false">A54+7</f>
        <v>46370</v>
      </c>
      <c r="B55" s="16" t="n">
        <f aca="false">SUMIFS('Training log'!$J$6:$J$1505,'Training log'!$K$6:$K$1505,A55)</f>
        <v>0</v>
      </c>
      <c r="C55" s="16" t="n">
        <f aca="false">COUNTIFS('Daily log'!$A$6:$A$405,"&gt;="&amp;A55,'Daily log'!$A$6:$A$405,"&lt;"&amp;A55+7)</f>
        <v>0</v>
      </c>
      <c r="D55" s="16" t="n">
        <f aca="false">COUNTIFS('Daily log'!$A$6:$A$405,"&gt;="&amp;A55,'Daily log'!$A$6:$A$405,"&lt;"&amp;A55+7,'Daily log'!$H$6:$H$405,"Yellow")</f>
        <v>0</v>
      </c>
      <c r="E55" s="16" t="n">
        <f aca="false">COUNTIFS('Daily log'!$A$6:$A$405,"&gt;="&amp;A55,'Daily log'!$A$6:$A$405,"&lt;"&amp;A55+7,'Daily log'!$H$6:$H$405,"Bad")</f>
        <v>0</v>
      </c>
      <c r="F55" s="18" t="str">
        <f aca="false">IF(E55&gt;=2,"yes","no")</f>
        <v>no</v>
      </c>
      <c r="G55" s="16" t="str">
        <f aca="false">IF(E55&gt;=2,ROUNDDOWN(B55*0.6,0),"")</f>
        <v/>
      </c>
      <c r="H55" s="14"/>
    </row>
    <row r="56" customFormat="false" ht="15" hidden="false" customHeight="false" outlineLevel="0" collapsed="false">
      <c r="A56" s="17" t="n">
        <f aca="false">A55+7</f>
        <v>46377</v>
      </c>
      <c r="B56" s="16" t="n">
        <f aca="false">SUMIFS('Training log'!$J$6:$J$1505,'Training log'!$K$6:$K$1505,A56)</f>
        <v>0</v>
      </c>
      <c r="C56" s="16" t="n">
        <f aca="false">COUNTIFS('Daily log'!$A$6:$A$405,"&gt;="&amp;A56,'Daily log'!$A$6:$A$405,"&lt;"&amp;A56+7)</f>
        <v>0</v>
      </c>
      <c r="D56" s="16" t="n">
        <f aca="false">COUNTIFS('Daily log'!$A$6:$A$405,"&gt;="&amp;A56,'Daily log'!$A$6:$A$405,"&lt;"&amp;A56+7,'Daily log'!$H$6:$H$405,"Yellow")</f>
        <v>0</v>
      </c>
      <c r="E56" s="16" t="n">
        <f aca="false">COUNTIFS('Daily log'!$A$6:$A$405,"&gt;="&amp;A56,'Daily log'!$A$6:$A$405,"&lt;"&amp;A56+7,'Daily log'!$H$6:$H$405,"Bad")</f>
        <v>0</v>
      </c>
      <c r="F56" s="18" t="str">
        <f aca="false">IF(E56&gt;=2,"yes","no")</f>
        <v>no</v>
      </c>
      <c r="G56" s="16" t="str">
        <f aca="false">IF(E56&gt;=2,ROUNDDOWN(B56*0.6,0),"")</f>
        <v/>
      </c>
      <c r="H56" s="14"/>
    </row>
    <row r="57" customFormat="false" ht="15" hidden="false" customHeight="false" outlineLevel="0" collapsed="false">
      <c r="A57" s="17" t="n">
        <f aca="false">A56+7</f>
        <v>46384</v>
      </c>
      <c r="B57" s="16" t="n">
        <f aca="false">SUMIFS('Training log'!$J$6:$J$1505,'Training log'!$K$6:$K$1505,A57)</f>
        <v>0</v>
      </c>
      <c r="C57" s="16" t="n">
        <f aca="false">COUNTIFS('Daily log'!$A$6:$A$405,"&gt;="&amp;A57,'Daily log'!$A$6:$A$405,"&lt;"&amp;A57+7)</f>
        <v>0</v>
      </c>
      <c r="D57" s="16" t="n">
        <f aca="false">COUNTIFS('Daily log'!$A$6:$A$405,"&gt;="&amp;A57,'Daily log'!$A$6:$A$405,"&lt;"&amp;A57+7,'Daily log'!$H$6:$H$405,"Yellow")</f>
        <v>0</v>
      </c>
      <c r="E57" s="16" t="n">
        <f aca="false">COUNTIFS('Daily log'!$A$6:$A$405,"&gt;="&amp;A57,'Daily log'!$A$6:$A$405,"&lt;"&amp;A57+7,'Daily log'!$H$6:$H$405,"Bad")</f>
        <v>0</v>
      </c>
      <c r="F57" s="18" t="str">
        <f aca="false">IF(E57&gt;=2,"yes","no")</f>
        <v>no</v>
      </c>
      <c r="G57" s="16" t="str">
        <f aca="false">IF(E57&gt;=2,ROUNDDOWN(B57*0.6,0),"")</f>
        <v/>
      </c>
      <c r="H57" s="14"/>
    </row>
    <row r="58" customFormat="false" ht="15" hidden="false" customHeight="false" outlineLevel="0" collapsed="false">
      <c r="A58" s="17" t="n">
        <f aca="false">A57+7</f>
        <v>46391</v>
      </c>
      <c r="B58" s="16" t="n">
        <f aca="false">SUMIFS('Training log'!$J$6:$J$1505,'Training log'!$K$6:$K$1505,A58)</f>
        <v>0</v>
      </c>
      <c r="C58" s="16" t="n">
        <f aca="false">COUNTIFS('Daily log'!$A$6:$A$405,"&gt;="&amp;A58,'Daily log'!$A$6:$A$405,"&lt;"&amp;A58+7)</f>
        <v>0</v>
      </c>
      <c r="D58" s="16" t="n">
        <f aca="false">COUNTIFS('Daily log'!$A$6:$A$405,"&gt;="&amp;A58,'Daily log'!$A$6:$A$405,"&lt;"&amp;A58+7,'Daily log'!$H$6:$H$405,"Yellow")</f>
        <v>0</v>
      </c>
      <c r="E58" s="16" t="n">
        <f aca="false">COUNTIFS('Daily log'!$A$6:$A$405,"&gt;="&amp;A58,'Daily log'!$A$6:$A$405,"&lt;"&amp;A58+7,'Daily log'!$H$6:$H$405,"Bad")</f>
        <v>0</v>
      </c>
      <c r="F58" s="18" t="str">
        <f aca="false">IF(E58&gt;=2,"yes","no")</f>
        <v>no</v>
      </c>
      <c r="G58" s="16" t="str">
        <f aca="false">IF(E58&gt;=2,ROUNDDOWN(B58*0.6,0),"")</f>
        <v/>
      </c>
      <c r="H58" s="14"/>
    </row>
    <row r="59" customFormat="false" ht="15" hidden="false" customHeight="false" outlineLevel="0" collapsed="false">
      <c r="A59" s="17" t="n">
        <f aca="false">A58+7</f>
        <v>46398</v>
      </c>
      <c r="B59" s="16" t="n">
        <f aca="false">SUMIFS('Training log'!$J$6:$J$1505,'Training log'!$K$6:$K$1505,A59)</f>
        <v>0</v>
      </c>
      <c r="C59" s="16" t="n">
        <f aca="false">COUNTIFS('Daily log'!$A$6:$A$405,"&gt;="&amp;A59,'Daily log'!$A$6:$A$405,"&lt;"&amp;A59+7)</f>
        <v>0</v>
      </c>
      <c r="D59" s="16" t="n">
        <f aca="false">COUNTIFS('Daily log'!$A$6:$A$405,"&gt;="&amp;A59,'Daily log'!$A$6:$A$405,"&lt;"&amp;A59+7,'Daily log'!$H$6:$H$405,"Yellow")</f>
        <v>0</v>
      </c>
      <c r="E59" s="16" t="n">
        <f aca="false">COUNTIFS('Daily log'!$A$6:$A$405,"&gt;="&amp;A59,'Daily log'!$A$6:$A$405,"&lt;"&amp;A59+7,'Daily log'!$H$6:$H$405,"Bad")</f>
        <v>0</v>
      </c>
      <c r="F59" s="18" t="str">
        <f aca="false">IF(E59&gt;=2,"yes","no")</f>
        <v>no</v>
      </c>
      <c r="G59" s="16" t="str">
        <f aca="false">IF(E59&gt;=2,ROUNDDOWN(B59*0.6,0),"")</f>
        <v/>
      </c>
      <c r="H59" s="14"/>
    </row>
    <row r="60" customFormat="false" ht="15" hidden="false" customHeight="false" outlineLevel="0" collapsed="false">
      <c r="A60" s="17" t="n">
        <f aca="false">A59+7</f>
        <v>46405</v>
      </c>
      <c r="B60" s="16" t="n">
        <f aca="false">SUMIFS('Training log'!$J$6:$J$1505,'Training log'!$K$6:$K$1505,A60)</f>
        <v>0</v>
      </c>
      <c r="C60" s="16" t="n">
        <f aca="false">COUNTIFS('Daily log'!$A$6:$A$405,"&gt;="&amp;A60,'Daily log'!$A$6:$A$405,"&lt;"&amp;A60+7)</f>
        <v>0</v>
      </c>
      <c r="D60" s="16" t="n">
        <f aca="false">COUNTIFS('Daily log'!$A$6:$A$405,"&gt;="&amp;A60,'Daily log'!$A$6:$A$405,"&lt;"&amp;A60+7,'Daily log'!$H$6:$H$405,"Yellow")</f>
        <v>0</v>
      </c>
      <c r="E60" s="16" t="n">
        <f aca="false">COUNTIFS('Daily log'!$A$6:$A$405,"&gt;="&amp;A60,'Daily log'!$A$6:$A$405,"&lt;"&amp;A60+7,'Daily log'!$H$6:$H$405,"Bad")</f>
        <v>0</v>
      </c>
      <c r="F60" s="18" t="str">
        <f aca="false">IF(E60&gt;=2,"yes","no")</f>
        <v>no</v>
      </c>
      <c r="G60" s="16" t="str">
        <f aca="false">IF(E60&gt;=2,ROUNDDOWN(B60*0.6,0),"")</f>
        <v/>
      </c>
      <c r="H60" s="14"/>
    </row>
    <row r="61" customFormat="false" ht="15" hidden="false" customHeight="false" outlineLevel="0" collapsed="false">
      <c r="A61" s="17" t="n">
        <f aca="false">A60+7</f>
        <v>46412</v>
      </c>
      <c r="B61" s="16" t="n">
        <f aca="false">SUMIFS('Training log'!$J$6:$J$1505,'Training log'!$K$6:$K$1505,A61)</f>
        <v>0</v>
      </c>
      <c r="C61" s="16" t="n">
        <f aca="false">COUNTIFS('Daily log'!$A$6:$A$405,"&gt;="&amp;A61,'Daily log'!$A$6:$A$405,"&lt;"&amp;A61+7)</f>
        <v>0</v>
      </c>
      <c r="D61" s="16" t="n">
        <f aca="false">COUNTIFS('Daily log'!$A$6:$A$405,"&gt;="&amp;A61,'Daily log'!$A$6:$A$405,"&lt;"&amp;A61+7,'Daily log'!$H$6:$H$405,"Yellow")</f>
        <v>0</v>
      </c>
      <c r="E61" s="16" t="n">
        <f aca="false">COUNTIFS('Daily log'!$A$6:$A$405,"&gt;="&amp;A61,'Daily log'!$A$6:$A$405,"&lt;"&amp;A61+7,'Daily log'!$H$6:$H$405,"Bad")</f>
        <v>0</v>
      </c>
      <c r="F61" s="18" t="str">
        <f aca="false">IF(E61&gt;=2,"yes","no")</f>
        <v>no</v>
      </c>
      <c r="G61" s="16" t="str">
        <f aca="false">IF(E61&gt;=2,ROUNDDOWN(B61*0.6,0),"")</f>
        <v/>
      </c>
      <c r="H61" s="14"/>
    </row>
    <row r="62" customFormat="false" ht="15" hidden="false" customHeight="false" outlineLevel="0" collapsed="false">
      <c r="A62" s="17" t="n">
        <f aca="false">A61+7</f>
        <v>46419</v>
      </c>
      <c r="B62" s="16" t="n">
        <f aca="false">SUMIFS('Training log'!$J$6:$J$1505,'Training log'!$K$6:$K$1505,A62)</f>
        <v>0</v>
      </c>
      <c r="C62" s="16" t="n">
        <f aca="false">COUNTIFS('Daily log'!$A$6:$A$405,"&gt;="&amp;A62,'Daily log'!$A$6:$A$405,"&lt;"&amp;A62+7)</f>
        <v>0</v>
      </c>
      <c r="D62" s="16" t="n">
        <f aca="false">COUNTIFS('Daily log'!$A$6:$A$405,"&gt;="&amp;A62,'Daily log'!$A$6:$A$405,"&lt;"&amp;A62+7,'Daily log'!$H$6:$H$405,"Yellow")</f>
        <v>0</v>
      </c>
      <c r="E62" s="16" t="n">
        <f aca="false">COUNTIFS('Daily log'!$A$6:$A$405,"&gt;="&amp;A62,'Daily log'!$A$6:$A$405,"&lt;"&amp;A62+7,'Daily log'!$H$6:$H$405,"Bad")</f>
        <v>0</v>
      </c>
      <c r="F62" s="18" t="str">
        <f aca="false">IF(E62&gt;=2,"yes","no")</f>
        <v>no</v>
      </c>
      <c r="G62" s="16" t="str">
        <f aca="false">IF(E62&gt;=2,ROUNDDOWN(B62*0.6,0),"")</f>
        <v/>
      </c>
      <c r="H62" s="14"/>
    </row>
    <row r="63" customFormat="false" ht="15" hidden="false" customHeight="false" outlineLevel="0" collapsed="false">
      <c r="A63" s="17" t="n">
        <f aca="false">A62+7</f>
        <v>46426</v>
      </c>
      <c r="B63" s="16" t="n">
        <f aca="false">SUMIFS('Training log'!$J$6:$J$1505,'Training log'!$K$6:$K$1505,A63)</f>
        <v>0</v>
      </c>
      <c r="C63" s="16" t="n">
        <f aca="false">COUNTIFS('Daily log'!$A$6:$A$405,"&gt;="&amp;A63,'Daily log'!$A$6:$A$405,"&lt;"&amp;A63+7)</f>
        <v>0</v>
      </c>
      <c r="D63" s="16" t="n">
        <f aca="false">COUNTIFS('Daily log'!$A$6:$A$405,"&gt;="&amp;A63,'Daily log'!$A$6:$A$405,"&lt;"&amp;A63+7,'Daily log'!$H$6:$H$405,"Yellow")</f>
        <v>0</v>
      </c>
      <c r="E63" s="16" t="n">
        <f aca="false">COUNTIFS('Daily log'!$A$6:$A$405,"&gt;="&amp;A63,'Daily log'!$A$6:$A$405,"&lt;"&amp;A63+7,'Daily log'!$H$6:$H$405,"Bad")</f>
        <v>0</v>
      </c>
      <c r="F63" s="18" t="str">
        <f aca="false">IF(E63&gt;=2,"yes","no")</f>
        <v>no</v>
      </c>
      <c r="G63" s="16" t="str">
        <f aca="false">IF(E63&gt;=2,ROUNDDOWN(B63*0.6,0),"")</f>
        <v/>
      </c>
      <c r="H63" s="14"/>
    </row>
    <row r="64" customFormat="false" ht="15" hidden="false" customHeight="false" outlineLevel="0" collapsed="false">
      <c r="A64" s="17" t="n">
        <f aca="false">A63+7</f>
        <v>46433</v>
      </c>
      <c r="B64" s="16" t="n">
        <f aca="false">SUMIFS('Training log'!$J$6:$J$1505,'Training log'!$K$6:$K$1505,A64)</f>
        <v>0</v>
      </c>
      <c r="C64" s="16" t="n">
        <f aca="false">COUNTIFS('Daily log'!$A$6:$A$405,"&gt;="&amp;A64,'Daily log'!$A$6:$A$405,"&lt;"&amp;A64+7)</f>
        <v>0</v>
      </c>
      <c r="D64" s="16" t="n">
        <f aca="false">COUNTIFS('Daily log'!$A$6:$A$405,"&gt;="&amp;A64,'Daily log'!$A$6:$A$405,"&lt;"&amp;A64+7,'Daily log'!$H$6:$H$405,"Yellow")</f>
        <v>0</v>
      </c>
      <c r="E64" s="16" t="n">
        <f aca="false">COUNTIFS('Daily log'!$A$6:$A$405,"&gt;="&amp;A64,'Daily log'!$A$6:$A$405,"&lt;"&amp;A64+7,'Daily log'!$H$6:$H$405,"Bad")</f>
        <v>0</v>
      </c>
      <c r="F64" s="18" t="str">
        <f aca="false">IF(E64&gt;=2,"yes","no")</f>
        <v>no</v>
      </c>
      <c r="G64" s="16" t="str">
        <f aca="false">IF(E64&gt;=2,ROUNDDOWN(B64*0.6,0),"")</f>
        <v/>
      </c>
      <c r="H64" s="14"/>
    </row>
    <row r="65" customFormat="false" ht="15" hidden="false" customHeight="false" outlineLevel="0" collapsed="false">
      <c r="A65" s="17" t="n">
        <f aca="false">A64+7</f>
        <v>46440</v>
      </c>
      <c r="B65" s="16" t="n">
        <f aca="false">SUMIFS('Training log'!$J$6:$J$1505,'Training log'!$K$6:$K$1505,A65)</f>
        <v>0</v>
      </c>
      <c r="C65" s="16" t="n">
        <f aca="false">COUNTIFS('Daily log'!$A$6:$A$405,"&gt;="&amp;A65,'Daily log'!$A$6:$A$405,"&lt;"&amp;A65+7)</f>
        <v>0</v>
      </c>
      <c r="D65" s="16" t="n">
        <f aca="false">COUNTIFS('Daily log'!$A$6:$A$405,"&gt;="&amp;A65,'Daily log'!$A$6:$A$405,"&lt;"&amp;A65+7,'Daily log'!$H$6:$H$405,"Yellow")</f>
        <v>0</v>
      </c>
      <c r="E65" s="16" t="n">
        <f aca="false">COUNTIFS('Daily log'!$A$6:$A$405,"&gt;="&amp;A65,'Daily log'!$A$6:$A$405,"&lt;"&amp;A65+7,'Daily log'!$H$6:$H$405,"Bad")</f>
        <v>0</v>
      </c>
      <c r="F65" s="18" t="str">
        <f aca="false">IF(E65&gt;=2,"yes","no")</f>
        <v>no</v>
      </c>
      <c r="G65" s="16" t="str">
        <f aca="false">IF(E65&gt;=2,ROUNDDOWN(B65*0.6,0),"")</f>
        <v/>
      </c>
      <c r="H65" s="14"/>
    </row>
    <row r="66" customFormat="false" ht="15" hidden="false" customHeight="false" outlineLevel="0" collapsed="false">
      <c r="A66" s="17" t="n">
        <f aca="false">A65+7</f>
        <v>46447</v>
      </c>
      <c r="B66" s="16" t="n">
        <f aca="false">SUMIFS('Training log'!$J$6:$J$1505,'Training log'!$K$6:$K$1505,A66)</f>
        <v>0</v>
      </c>
      <c r="C66" s="16" t="n">
        <f aca="false">COUNTIFS('Daily log'!$A$6:$A$405,"&gt;="&amp;A66,'Daily log'!$A$6:$A$405,"&lt;"&amp;A66+7)</f>
        <v>0</v>
      </c>
      <c r="D66" s="16" t="n">
        <f aca="false">COUNTIFS('Daily log'!$A$6:$A$405,"&gt;="&amp;A66,'Daily log'!$A$6:$A$405,"&lt;"&amp;A66+7,'Daily log'!$H$6:$H$405,"Yellow")</f>
        <v>0</v>
      </c>
      <c r="E66" s="16" t="n">
        <f aca="false">COUNTIFS('Daily log'!$A$6:$A$405,"&gt;="&amp;A66,'Daily log'!$A$6:$A$405,"&lt;"&amp;A66+7,'Daily log'!$H$6:$H$405,"Bad")</f>
        <v>0</v>
      </c>
      <c r="F66" s="18" t="str">
        <f aca="false">IF(E66&gt;=2,"yes","no")</f>
        <v>no</v>
      </c>
      <c r="G66" s="16" t="str">
        <f aca="false">IF(E66&gt;=2,ROUNDDOWN(B66*0.6,0),"")</f>
        <v/>
      </c>
      <c r="H66" s="14"/>
    </row>
    <row r="67" customFormat="false" ht="15" hidden="false" customHeight="false" outlineLevel="0" collapsed="false">
      <c r="A67" s="17" t="n">
        <f aca="false">A66+7</f>
        <v>46454</v>
      </c>
      <c r="B67" s="16" t="n">
        <f aca="false">SUMIFS('Training log'!$J$6:$J$1505,'Training log'!$K$6:$K$1505,A67)</f>
        <v>0</v>
      </c>
      <c r="C67" s="16" t="n">
        <f aca="false">COUNTIFS('Daily log'!$A$6:$A$405,"&gt;="&amp;A67,'Daily log'!$A$6:$A$405,"&lt;"&amp;A67+7)</f>
        <v>0</v>
      </c>
      <c r="D67" s="16" t="n">
        <f aca="false">COUNTIFS('Daily log'!$A$6:$A$405,"&gt;="&amp;A67,'Daily log'!$A$6:$A$405,"&lt;"&amp;A67+7,'Daily log'!$H$6:$H$405,"Yellow")</f>
        <v>0</v>
      </c>
      <c r="E67" s="16" t="n">
        <f aca="false">COUNTIFS('Daily log'!$A$6:$A$405,"&gt;="&amp;A67,'Daily log'!$A$6:$A$405,"&lt;"&amp;A67+7,'Daily log'!$H$6:$H$405,"Bad")</f>
        <v>0</v>
      </c>
      <c r="F67" s="18" t="str">
        <f aca="false">IF(E67&gt;=2,"yes","no")</f>
        <v>no</v>
      </c>
      <c r="G67" s="16" t="str">
        <f aca="false">IF(E67&gt;=2,ROUNDDOWN(B67*0.6,0),"")</f>
        <v/>
      </c>
      <c r="H67" s="14"/>
    </row>
    <row r="68" customFormat="false" ht="15" hidden="false" customHeight="false" outlineLevel="0" collapsed="false">
      <c r="A68" s="17" t="n">
        <f aca="false">A67+7</f>
        <v>46461</v>
      </c>
      <c r="B68" s="16" t="n">
        <f aca="false">SUMIFS('Training log'!$J$6:$J$1505,'Training log'!$K$6:$K$1505,A68)</f>
        <v>0</v>
      </c>
      <c r="C68" s="16" t="n">
        <f aca="false">COUNTIFS('Daily log'!$A$6:$A$405,"&gt;="&amp;A68,'Daily log'!$A$6:$A$405,"&lt;"&amp;A68+7)</f>
        <v>0</v>
      </c>
      <c r="D68" s="16" t="n">
        <f aca="false">COUNTIFS('Daily log'!$A$6:$A$405,"&gt;="&amp;A68,'Daily log'!$A$6:$A$405,"&lt;"&amp;A68+7,'Daily log'!$H$6:$H$405,"Yellow")</f>
        <v>0</v>
      </c>
      <c r="E68" s="16" t="n">
        <f aca="false">COUNTIFS('Daily log'!$A$6:$A$405,"&gt;="&amp;A68,'Daily log'!$A$6:$A$405,"&lt;"&amp;A68+7,'Daily log'!$H$6:$H$405,"Bad")</f>
        <v>0</v>
      </c>
      <c r="F68" s="18" t="str">
        <f aca="false">IF(E68&gt;=2,"yes","no")</f>
        <v>no</v>
      </c>
      <c r="G68" s="16" t="str">
        <f aca="false">IF(E68&gt;=2,ROUNDDOWN(B68*0.6,0),"")</f>
        <v/>
      </c>
      <c r="H68" s="14"/>
    </row>
    <row r="69" customFormat="false" ht="15" hidden="false" customHeight="false" outlineLevel="0" collapsed="false">
      <c r="A69" s="17" t="n">
        <f aca="false">A68+7</f>
        <v>46468</v>
      </c>
      <c r="B69" s="16" t="n">
        <f aca="false">SUMIFS('Training log'!$J$6:$J$1505,'Training log'!$K$6:$K$1505,A69)</f>
        <v>0</v>
      </c>
      <c r="C69" s="16" t="n">
        <f aca="false">COUNTIFS('Daily log'!$A$6:$A$405,"&gt;="&amp;A69,'Daily log'!$A$6:$A$405,"&lt;"&amp;A69+7)</f>
        <v>0</v>
      </c>
      <c r="D69" s="16" t="n">
        <f aca="false">COUNTIFS('Daily log'!$A$6:$A$405,"&gt;="&amp;A69,'Daily log'!$A$6:$A$405,"&lt;"&amp;A69+7,'Daily log'!$H$6:$H$405,"Yellow")</f>
        <v>0</v>
      </c>
      <c r="E69" s="16" t="n">
        <f aca="false">COUNTIFS('Daily log'!$A$6:$A$405,"&gt;="&amp;A69,'Daily log'!$A$6:$A$405,"&lt;"&amp;A69+7,'Daily log'!$H$6:$H$405,"Bad")</f>
        <v>0</v>
      </c>
      <c r="F69" s="18" t="str">
        <f aca="false">IF(E69&gt;=2,"yes","no")</f>
        <v>no</v>
      </c>
      <c r="G69" s="16" t="str">
        <f aca="false">IF(E69&gt;=2,ROUNDDOWN(B69*0.6,0),"")</f>
        <v/>
      </c>
      <c r="H69" s="14"/>
    </row>
    <row r="70" customFormat="false" ht="15" hidden="false" customHeight="false" outlineLevel="0" collapsed="false">
      <c r="A70" s="17" t="n">
        <f aca="false">A69+7</f>
        <v>46475</v>
      </c>
      <c r="B70" s="16" t="n">
        <f aca="false">SUMIFS('Training log'!$J$6:$J$1505,'Training log'!$K$6:$K$1505,A70)</f>
        <v>0</v>
      </c>
      <c r="C70" s="16" t="n">
        <f aca="false">COUNTIFS('Daily log'!$A$6:$A$405,"&gt;="&amp;A70,'Daily log'!$A$6:$A$405,"&lt;"&amp;A70+7)</f>
        <v>0</v>
      </c>
      <c r="D70" s="16" t="n">
        <f aca="false">COUNTIFS('Daily log'!$A$6:$A$405,"&gt;="&amp;A70,'Daily log'!$A$6:$A$405,"&lt;"&amp;A70+7,'Daily log'!$H$6:$H$405,"Yellow")</f>
        <v>0</v>
      </c>
      <c r="E70" s="16" t="n">
        <f aca="false">COUNTIFS('Daily log'!$A$6:$A$405,"&gt;="&amp;A70,'Daily log'!$A$6:$A$405,"&lt;"&amp;A70+7,'Daily log'!$H$6:$H$405,"Bad")</f>
        <v>0</v>
      </c>
      <c r="F70" s="18" t="str">
        <f aca="false">IF(E70&gt;=2,"yes","no")</f>
        <v>no</v>
      </c>
      <c r="G70" s="16" t="str">
        <f aca="false">IF(E70&gt;=2,ROUNDDOWN(B70*0.6,0),"")</f>
        <v/>
      </c>
      <c r="H70" s="14"/>
    </row>
    <row r="71" customFormat="false" ht="15" hidden="false" customHeight="false" outlineLevel="0" collapsed="false">
      <c r="A71" s="17" t="n">
        <f aca="false">A70+7</f>
        <v>46482</v>
      </c>
      <c r="B71" s="16" t="n">
        <f aca="false">SUMIFS('Training log'!$J$6:$J$1505,'Training log'!$K$6:$K$1505,A71)</f>
        <v>0</v>
      </c>
      <c r="C71" s="16" t="n">
        <f aca="false">COUNTIFS('Daily log'!$A$6:$A$405,"&gt;="&amp;A71,'Daily log'!$A$6:$A$405,"&lt;"&amp;A71+7)</f>
        <v>0</v>
      </c>
      <c r="D71" s="16" t="n">
        <f aca="false">COUNTIFS('Daily log'!$A$6:$A$405,"&gt;="&amp;A71,'Daily log'!$A$6:$A$405,"&lt;"&amp;A71+7,'Daily log'!$H$6:$H$405,"Yellow")</f>
        <v>0</v>
      </c>
      <c r="E71" s="16" t="n">
        <f aca="false">COUNTIFS('Daily log'!$A$6:$A$405,"&gt;="&amp;A71,'Daily log'!$A$6:$A$405,"&lt;"&amp;A71+7,'Daily log'!$H$6:$H$405,"Bad")</f>
        <v>0</v>
      </c>
      <c r="F71" s="18" t="str">
        <f aca="false">IF(E71&gt;=2,"yes","no")</f>
        <v>no</v>
      </c>
      <c r="G71" s="16" t="str">
        <f aca="false">IF(E71&gt;=2,ROUNDDOWN(B71*0.6,0),"")</f>
        <v/>
      </c>
      <c r="H71" s="14"/>
    </row>
    <row r="72" customFormat="false" ht="15" hidden="false" customHeight="false" outlineLevel="0" collapsed="false">
      <c r="A72" s="17" t="n">
        <f aca="false">A71+7</f>
        <v>46489</v>
      </c>
      <c r="B72" s="16" t="n">
        <f aca="false">SUMIFS('Training log'!$J$6:$J$1505,'Training log'!$K$6:$K$1505,A72)</f>
        <v>0</v>
      </c>
      <c r="C72" s="16" t="n">
        <f aca="false">COUNTIFS('Daily log'!$A$6:$A$405,"&gt;="&amp;A72,'Daily log'!$A$6:$A$405,"&lt;"&amp;A72+7)</f>
        <v>0</v>
      </c>
      <c r="D72" s="16" t="n">
        <f aca="false">COUNTIFS('Daily log'!$A$6:$A$405,"&gt;="&amp;A72,'Daily log'!$A$6:$A$405,"&lt;"&amp;A72+7,'Daily log'!$H$6:$H$405,"Yellow")</f>
        <v>0</v>
      </c>
      <c r="E72" s="16" t="n">
        <f aca="false">COUNTIFS('Daily log'!$A$6:$A$405,"&gt;="&amp;A72,'Daily log'!$A$6:$A$405,"&lt;"&amp;A72+7,'Daily log'!$H$6:$H$405,"Bad")</f>
        <v>0</v>
      </c>
      <c r="F72" s="18" t="str">
        <f aca="false">IF(E72&gt;=2,"yes","no")</f>
        <v>no</v>
      </c>
      <c r="G72" s="16" t="str">
        <f aca="false">IF(E72&gt;=2,ROUNDDOWN(B72*0.6,0),"")</f>
        <v/>
      </c>
      <c r="H72" s="14"/>
    </row>
    <row r="73" customFormat="false" ht="15" hidden="false" customHeight="false" outlineLevel="0" collapsed="false">
      <c r="A73" s="17" t="n">
        <f aca="false">A72+7</f>
        <v>46496</v>
      </c>
      <c r="B73" s="16" t="n">
        <f aca="false">SUMIFS('Training log'!$J$6:$J$1505,'Training log'!$K$6:$K$1505,A73)</f>
        <v>0</v>
      </c>
      <c r="C73" s="16" t="n">
        <f aca="false">COUNTIFS('Daily log'!$A$6:$A$405,"&gt;="&amp;A73,'Daily log'!$A$6:$A$405,"&lt;"&amp;A73+7)</f>
        <v>0</v>
      </c>
      <c r="D73" s="16" t="n">
        <f aca="false">COUNTIFS('Daily log'!$A$6:$A$405,"&gt;="&amp;A73,'Daily log'!$A$6:$A$405,"&lt;"&amp;A73+7,'Daily log'!$H$6:$H$405,"Yellow")</f>
        <v>0</v>
      </c>
      <c r="E73" s="16" t="n">
        <f aca="false">COUNTIFS('Daily log'!$A$6:$A$405,"&gt;="&amp;A73,'Daily log'!$A$6:$A$405,"&lt;"&amp;A73+7,'Daily log'!$H$6:$H$405,"Bad")</f>
        <v>0</v>
      </c>
      <c r="F73" s="18" t="str">
        <f aca="false">IF(E73&gt;=2,"yes","no")</f>
        <v>no</v>
      </c>
      <c r="G73" s="16" t="str">
        <f aca="false">IF(E73&gt;=2,ROUNDDOWN(B73*0.6,0),"")</f>
        <v/>
      </c>
      <c r="H73" s="14"/>
    </row>
    <row r="74" customFormat="false" ht="15" hidden="false" customHeight="false" outlineLevel="0" collapsed="false">
      <c r="A74" s="17" t="n">
        <f aca="false">A73+7</f>
        <v>46503</v>
      </c>
      <c r="B74" s="16" t="n">
        <f aca="false">SUMIFS('Training log'!$J$6:$J$1505,'Training log'!$K$6:$K$1505,A74)</f>
        <v>0</v>
      </c>
      <c r="C74" s="16" t="n">
        <f aca="false">COUNTIFS('Daily log'!$A$6:$A$405,"&gt;="&amp;A74,'Daily log'!$A$6:$A$405,"&lt;"&amp;A74+7)</f>
        <v>0</v>
      </c>
      <c r="D74" s="16" t="n">
        <f aca="false">COUNTIFS('Daily log'!$A$6:$A$405,"&gt;="&amp;A74,'Daily log'!$A$6:$A$405,"&lt;"&amp;A74+7,'Daily log'!$H$6:$H$405,"Yellow")</f>
        <v>0</v>
      </c>
      <c r="E74" s="16" t="n">
        <f aca="false">COUNTIFS('Daily log'!$A$6:$A$405,"&gt;="&amp;A74,'Daily log'!$A$6:$A$405,"&lt;"&amp;A74+7,'Daily log'!$H$6:$H$405,"Bad")</f>
        <v>0</v>
      </c>
      <c r="F74" s="18" t="str">
        <f aca="false">IF(E74&gt;=2,"yes","no")</f>
        <v>no</v>
      </c>
      <c r="G74" s="16" t="str">
        <f aca="false">IF(E74&gt;=2,ROUNDDOWN(B74*0.6,0),"")</f>
        <v/>
      </c>
      <c r="H74" s="14"/>
    </row>
    <row r="75" customFormat="false" ht="15" hidden="false" customHeight="false" outlineLevel="0" collapsed="false">
      <c r="A75" s="17" t="n">
        <f aca="false">A74+7</f>
        <v>46510</v>
      </c>
      <c r="B75" s="16" t="n">
        <f aca="false">SUMIFS('Training log'!$J$6:$J$1505,'Training log'!$K$6:$K$1505,A75)</f>
        <v>0</v>
      </c>
      <c r="C75" s="16" t="n">
        <f aca="false">COUNTIFS('Daily log'!$A$6:$A$405,"&gt;="&amp;A75,'Daily log'!$A$6:$A$405,"&lt;"&amp;A75+7)</f>
        <v>0</v>
      </c>
      <c r="D75" s="16" t="n">
        <f aca="false">COUNTIFS('Daily log'!$A$6:$A$405,"&gt;="&amp;A75,'Daily log'!$A$6:$A$405,"&lt;"&amp;A75+7,'Daily log'!$H$6:$H$405,"Yellow")</f>
        <v>0</v>
      </c>
      <c r="E75" s="16" t="n">
        <f aca="false">COUNTIFS('Daily log'!$A$6:$A$405,"&gt;="&amp;A75,'Daily log'!$A$6:$A$405,"&lt;"&amp;A75+7,'Daily log'!$H$6:$H$405,"Bad")</f>
        <v>0</v>
      </c>
      <c r="F75" s="18" t="str">
        <f aca="false">IF(E75&gt;=2,"yes","no")</f>
        <v>no</v>
      </c>
      <c r="G75" s="16" t="str">
        <f aca="false">IF(E75&gt;=2,ROUNDDOWN(B75*0.6,0),"")</f>
        <v/>
      </c>
      <c r="H75" s="14"/>
    </row>
    <row r="76" customFormat="false" ht="15" hidden="false" customHeight="false" outlineLevel="0" collapsed="false">
      <c r="A76" s="17" t="n">
        <f aca="false">A75+7</f>
        <v>46517</v>
      </c>
      <c r="B76" s="16" t="n">
        <f aca="false">SUMIFS('Training log'!$J$6:$J$1505,'Training log'!$K$6:$K$1505,A76)</f>
        <v>0</v>
      </c>
      <c r="C76" s="16" t="n">
        <f aca="false">COUNTIFS('Daily log'!$A$6:$A$405,"&gt;="&amp;A76,'Daily log'!$A$6:$A$405,"&lt;"&amp;A76+7)</f>
        <v>0</v>
      </c>
      <c r="D76" s="16" t="n">
        <f aca="false">COUNTIFS('Daily log'!$A$6:$A$405,"&gt;="&amp;A76,'Daily log'!$A$6:$A$405,"&lt;"&amp;A76+7,'Daily log'!$H$6:$H$405,"Yellow")</f>
        <v>0</v>
      </c>
      <c r="E76" s="16" t="n">
        <f aca="false">COUNTIFS('Daily log'!$A$6:$A$405,"&gt;="&amp;A76,'Daily log'!$A$6:$A$405,"&lt;"&amp;A76+7,'Daily log'!$H$6:$H$405,"Bad")</f>
        <v>0</v>
      </c>
      <c r="F76" s="18" t="str">
        <f aca="false">IF(E76&gt;=2,"yes","no")</f>
        <v>no</v>
      </c>
      <c r="G76" s="16" t="str">
        <f aca="false">IF(E76&gt;=2,ROUNDDOWN(B76*0.6,0),"")</f>
        <v/>
      </c>
      <c r="H76" s="14"/>
    </row>
    <row r="77" customFormat="false" ht="15" hidden="false" customHeight="false" outlineLevel="0" collapsed="false">
      <c r="A77" s="17" t="n">
        <f aca="false">A76+7</f>
        <v>46524</v>
      </c>
      <c r="B77" s="16" t="n">
        <f aca="false">SUMIFS('Training log'!$J$6:$J$1505,'Training log'!$K$6:$K$1505,A77)</f>
        <v>0</v>
      </c>
      <c r="C77" s="16" t="n">
        <f aca="false">COUNTIFS('Daily log'!$A$6:$A$405,"&gt;="&amp;A77,'Daily log'!$A$6:$A$405,"&lt;"&amp;A77+7)</f>
        <v>0</v>
      </c>
      <c r="D77" s="16" t="n">
        <f aca="false">COUNTIFS('Daily log'!$A$6:$A$405,"&gt;="&amp;A77,'Daily log'!$A$6:$A$405,"&lt;"&amp;A77+7,'Daily log'!$H$6:$H$405,"Yellow")</f>
        <v>0</v>
      </c>
      <c r="E77" s="16" t="n">
        <f aca="false">COUNTIFS('Daily log'!$A$6:$A$405,"&gt;="&amp;A77,'Daily log'!$A$6:$A$405,"&lt;"&amp;A77+7,'Daily log'!$H$6:$H$405,"Bad")</f>
        <v>0</v>
      </c>
      <c r="F77" s="18" t="str">
        <f aca="false">IF(E77&gt;=2,"yes","no")</f>
        <v>no</v>
      </c>
      <c r="G77" s="16" t="str">
        <f aca="false">IF(E77&gt;=2,ROUNDDOWN(B77*0.6,0),"")</f>
        <v/>
      </c>
      <c r="H77" s="14"/>
    </row>
    <row r="78" customFormat="false" ht="15" hidden="false" customHeight="false" outlineLevel="0" collapsed="false">
      <c r="A78" s="17" t="n">
        <f aca="false">A77+7</f>
        <v>46531</v>
      </c>
      <c r="B78" s="16" t="n">
        <f aca="false">SUMIFS('Training log'!$J$6:$J$1505,'Training log'!$K$6:$K$1505,A78)</f>
        <v>0</v>
      </c>
      <c r="C78" s="16" t="n">
        <f aca="false">COUNTIFS('Daily log'!$A$6:$A$405,"&gt;="&amp;A78,'Daily log'!$A$6:$A$405,"&lt;"&amp;A78+7)</f>
        <v>0</v>
      </c>
      <c r="D78" s="16" t="n">
        <f aca="false">COUNTIFS('Daily log'!$A$6:$A$405,"&gt;="&amp;A78,'Daily log'!$A$6:$A$405,"&lt;"&amp;A78+7,'Daily log'!$H$6:$H$405,"Yellow")</f>
        <v>0</v>
      </c>
      <c r="E78" s="16" t="n">
        <f aca="false">COUNTIFS('Daily log'!$A$6:$A$405,"&gt;="&amp;A78,'Daily log'!$A$6:$A$405,"&lt;"&amp;A78+7,'Daily log'!$H$6:$H$405,"Bad")</f>
        <v>0</v>
      </c>
      <c r="F78" s="18" t="str">
        <f aca="false">IF(E78&gt;=2,"yes","no")</f>
        <v>no</v>
      </c>
      <c r="G78" s="16" t="str">
        <f aca="false">IF(E78&gt;=2,ROUNDDOWN(B78*0.6,0),"")</f>
        <v/>
      </c>
      <c r="H78" s="14"/>
    </row>
    <row r="79" customFormat="false" ht="15" hidden="false" customHeight="false" outlineLevel="0" collapsed="false">
      <c r="A79" s="17" t="n">
        <f aca="false">A78+7</f>
        <v>46538</v>
      </c>
      <c r="B79" s="16" t="n">
        <f aca="false">SUMIFS('Training log'!$J$6:$J$1505,'Training log'!$K$6:$K$1505,A79)</f>
        <v>0</v>
      </c>
      <c r="C79" s="16" t="n">
        <f aca="false">COUNTIFS('Daily log'!$A$6:$A$405,"&gt;="&amp;A79,'Daily log'!$A$6:$A$405,"&lt;"&amp;A79+7)</f>
        <v>0</v>
      </c>
      <c r="D79" s="16" t="n">
        <f aca="false">COUNTIFS('Daily log'!$A$6:$A$405,"&gt;="&amp;A79,'Daily log'!$A$6:$A$405,"&lt;"&amp;A79+7,'Daily log'!$H$6:$H$405,"Yellow")</f>
        <v>0</v>
      </c>
      <c r="E79" s="16" t="n">
        <f aca="false">COUNTIFS('Daily log'!$A$6:$A$405,"&gt;="&amp;A79,'Daily log'!$A$6:$A$405,"&lt;"&amp;A79+7,'Daily log'!$H$6:$H$405,"Bad")</f>
        <v>0</v>
      </c>
      <c r="F79" s="18" t="str">
        <f aca="false">IF(E79&gt;=2,"yes","no")</f>
        <v>no</v>
      </c>
      <c r="G79" s="16" t="str">
        <f aca="false">IF(E79&gt;=2,ROUNDDOWN(B79*0.6,0),"")</f>
        <v/>
      </c>
      <c r="H79" s="14"/>
    </row>
    <row r="80" customFormat="false" ht="15" hidden="false" customHeight="false" outlineLevel="0" collapsed="false">
      <c r="A80" s="17" t="n">
        <f aca="false">A79+7</f>
        <v>46545</v>
      </c>
      <c r="B80" s="16" t="n">
        <f aca="false">SUMIFS('Training log'!$J$6:$J$1505,'Training log'!$K$6:$K$1505,A80)</f>
        <v>0</v>
      </c>
      <c r="C80" s="16" t="n">
        <f aca="false">COUNTIFS('Daily log'!$A$6:$A$405,"&gt;="&amp;A80,'Daily log'!$A$6:$A$405,"&lt;"&amp;A80+7)</f>
        <v>0</v>
      </c>
      <c r="D80" s="16" t="n">
        <f aca="false">COUNTIFS('Daily log'!$A$6:$A$405,"&gt;="&amp;A80,'Daily log'!$A$6:$A$405,"&lt;"&amp;A80+7,'Daily log'!$H$6:$H$405,"Yellow")</f>
        <v>0</v>
      </c>
      <c r="E80" s="16" t="n">
        <f aca="false">COUNTIFS('Daily log'!$A$6:$A$405,"&gt;="&amp;A80,'Daily log'!$A$6:$A$405,"&lt;"&amp;A80+7,'Daily log'!$H$6:$H$405,"Bad")</f>
        <v>0</v>
      </c>
      <c r="F80" s="18" t="str">
        <f aca="false">IF(E80&gt;=2,"yes","no")</f>
        <v>no</v>
      </c>
      <c r="G80" s="16" t="str">
        <f aca="false">IF(E80&gt;=2,ROUNDDOWN(B80*0.6,0),"")</f>
        <v/>
      </c>
      <c r="H80" s="14"/>
    </row>
    <row r="81" customFormat="false" ht="15" hidden="false" customHeight="false" outlineLevel="0" collapsed="false">
      <c r="A81" s="17" t="n">
        <f aca="false">A80+7</f>
        <v>46552</v>
      </c>
      <c r="B81" s="16" t="n">
        <f aca="false">SUMIFS('Training log'!$J$6:$J$1505,'Training log'!$K$6:$K$1505,A81)</f>
        <v>0</v>
      </c>
      <c r="C81" s="16" t="n">
        <f aca="false">COUNTIFS('Daily log'!$A$6:$A$405,"&gt;="&amp;A81,'Daily log'!$A$6:$A$405,"&lt;"&amp;A81+7)</f>
        <v>0</v>
      </c>
      <c r="D81" s="16" t="n">
        <f aca="false">COUNTIFS('Daily log'!$A$6:$A$405,"&gt;="&amp;A81,'Daily log'!$A$6:$A$405,"&lt;"&amp;A81+7,'Daily log'!$H$6:$H$405,"Yellow")</f>
        <v>0</v>
      </c>
      <c r="E81" s="16" t="n">
        <f aca="false">COUNTIFS('Daily log'!$A$6:$A$405,"&gt;="&amp;A81,'Daily log'!$A$6:$A$405,"&lt;"&amp;A81+7,'Daily log'!$H$6:$H$405,"Bad")</f>
        <v>0</v>
      </c>
      <c r="F81" s="18" t="str">
        <f aca="false">IF(E81&gt;=2,"yes","no")</f>
        <v>no</v>
      </c>
      <c r="G81" s="16" t="str">
        <f aca="false">IF(E81&gt;=2,ROUNDDOWN(B81*0.6,0),"")</f>
        <v/>
      </c>
      <c r="H81" s="14"/>
    </row>
    <row r="82" customFormat="false" ht="15" hidden="false" customHeight="false" outlineLevel="0" collapsed="false">
      <c r="A82" s="17" t="n">
        <f aca="false">A81+7</f>
        <v>46559</v>
      </c>
      <c r="B82" s="16" t="n">
        <f aca="false">SUMIFS('Training log'!$J$6:$J$1505,'Training log'!$K$6:$K$1505,A82)</f>
        <v>0</v>
      </c>
      <c r="C82" s="16" t="n">
        <f aca="false">COUNTIFS('Daily log'!$A$6:$A$405,"&gt;="&amp;A82,'Daily log'!$A$6:$A$405,"&lt;"&amp;A82+7)</f>
        <v>0</v>
      </c>
      <c r="D82" s="16" t="n">
        <f aca="false">COUNTIFS('Daily log'!$A$6:$A$405,"&gt;="&amp;A82,'Daily log'!$A$6:$A$405,"&lt;"&amp;A82+7,'Daily log'!$H$6:$H$405,"Yellow")</f>
        <v>0</v>
      </c>
      <c r="E82" s="16" t="n">
        <f aca="false">COUNTIFS('Daily log'!$A$6:$A$405,"&gt;="&amp;A82,'Daily log'!$A$6:$A$405,"&lt;"&amp;A82+7,'Daily log'!$H$6:$H$405,"Bad")</f>
        <v>0</v>
      </c>
      <c r="F82" s="18" t="str">
        <f aca="false">IF(E82&gt;=2,"yes","no")</f>
        <v>no</v>
      </c>
      <c r="G82" s="16" t="str">
        <f aca="false">IF(E82&gt;=2,ROUNDDOWN(B82*0.6,0),"")</f>
        <v/>
      </c>
      <c r="H82" s="14"/>
    </row>
    <row r="83" customFormat="false" ht="15" hidden="false" customHeight="false" outlineLevel="0" collapsed="false">
      <c r="A83" s="17" t="n">
        <f aca="false">A82+7</f>
        <v>46566</v>
      </c>
      <c r="B83" s="16" t="n">
        <f aca="false">SUMIFS('Training log'!$J$6:$J$1505,'Training log'!$K$6:$K$1505,A83)</f>
        <v>0</v>
      </c>
      <c r="C83" s="16" t="n">
        <f aca="false">COUNTIFS('Daily log'!$A$6:$A$405,"&gt;="&amp;A83,'Daily log'!$A$6:$A$405,"&lt;"&amp;A83+7)</f>
        <v>0</v>
      </c>
      <c r="D83" s="16" t="n">
        <f aca="false">COUNTIFS('Daily log'!$A$6:$A$405,"&gt;="&amp;A83,'Daily log'!$A$6:$A$405,"&lt;"&amp;A83+7,'Daily log'!$H$6:$H$405,"Yellow")</f>
        <v>0</v>
      </c>
      <c r="E83" s="16" t="n">
        <f aca="false">COUNTIFS('Daily log'!$A$6:$A$405,"&gt;="&amp;A83,'Daily log'!$A$6:$A$405,"&lt;"&amp;A83+7,'Daily log'!$H$6:$H$405,"Bad")</f>
        <v>0</v>
      </c>
      <c r="F83" s="18" t="str">
        <f aca="false">IF(E83&gt;=2,"yes","no")</f>
        <v>no</v>
      </c>
      <c r="G83" s="16" t="str">
        <f aca="false">IF(E83&gt;=2,ROUNDDOWN(B83*0.6,0),"")</f>
        <v/>
      </c>
      <c r="H83" s="14"/>
    </row>
    <row r="84" customFormat="false" ht="15" hidden="false" customHeight="false" outlineLevel="0" collapsed="false">
      <c r="A84" s="17" t="n">
        <f aca="false">A83+7</f>
        <v>46573</v>
      </c>
      <c r="B84" s="16" t="n">
        <f aca="false">SUMIFS('Training log'!$J$6:$J$1505,'Training log'!$K$6:$K$1505,A84)</f>
        <v>0</v>
      </c>
      <c r="C84" s="16" t="n">
        <f aca="false">COUNTIFS('Daily log'!$A$6:$A$405,"&gt;="&amp;A84,'Daily log'!$A$6:$A$405,"&lt;"&amp;A84+7)</f>
        <v>0</v>
      </c>
      <c r="D84" s="16" t="n">
        <f aca="false">COUNTIFS('Daily log'!$A$6:$A$405,"&gt;="&amp;A84,'Daily log'!$A$6:$A$405,"&lt;"&amp;A84+7,'Daily log'!$H$6:$H$405,"Yellow")</f>
        <v>0</v>
      </c>
      <c r="E84" s="16" t="n">
        <f aca="false">COUNTIFS('Daily log'!$A$6:$A$405,"&gt;="&amp;A84,'Daily log'!$A$6:$A$405,"&lt;"&amp;A84+7,'Daily log'!$H$6:$H$405,"Bad")</f>
        <v>0</v>
      </c>
      <c r="F84" s="18" t="str">
        <f aca="false">IF(E84&gt;=2,"yes","no")</f>
        <v>no</v>
      </c>
      <c r="G84" s="16" t="str">
        <f aca="false">IF(E84&gt;=2,ROUNDDOWN(B84*0.6,0),"")</f>
        <v/>
      </c>
      <c r="H84" s="14"/>
    </row>
    <row r="85" customFormat="false" ht="15" hidden="false" customHeight="false" outlineLevel="0" collapsed="false">
      <c r="A85" s="17" t="n">
        <f aca="false">A84+7</f>
        <v>46580</v>
      </c>
      <c r="B85" s="16" t="n">
        <f aca="false">SUMIFS('Training log'!$J$6:$J$1505,'Training log'!$K$6:$K$1505,A85)</f>
        <v>0</v>
      </c>
      <c r="C85" s="16" t="n">
        <f aca="false">COUNTIFS('Daily log'!$A$6:$A$405,"&gt;="&amp;A85,'Daily log'!$A$6:$A$405,"&lt;"&amp;A85+7)</f>
        <v>0</v>
      </c>
      <c r="D85" s="16" t="n">
        <f aca="false">COUNTIFS('Daily log'!$A$6:$A$405,"&gt;="&amp;A85,'Daily log'!$A$6:$A$405,"&lt;"&amp;A85+7,'Daily log'!$H$6:$H$405,"Yellow")</f>
        <v>0</v>
      </c>
      <c r="E85" s="16" t="n">
        <f aca="false">COUNTIFS('Daily log'!$A$6:$A$405,"&gt;="&amp;A85,'Daily log'!$A$6:$A$405,"&lt;"&amp;A85+7,'Daily log'!$H$6:$H$405,"Bad")</f>
        <v>0</v>
      </c>
      <c r="F85" s="18" t="str">
        <f aca="false">IF(E85&gt;=2,"yes","no")</f>
        <v>no</v>
      </c>
      <c r="G85" s="16" t="str">
        <f aca="false">IF(E85&gt;=2,ROUNDDOWN(B85*0.6,0),"")</f>
        <v/>
      </c>
      <c r="H85" s="14"/>
    </row>
    <row r="86" customFormat="false" ht="15" hidden="false" customHeight="false" outlineLevel="0" collapsed="false">
      <c r="A86" s="17" t="n">
        <f aca="false">A85+7</f>
        <v>46587</v>
      </c>
      <c r="B86" s="16" t="n">
        <f aca="false">SUMIFS('Training log'!$J$6:$J$1505,'Training log'!$K$6:$K$1505,A86)</f>
        <v>0</v>
      </c>
      <c r="C86" s="16" t="n">
        <f aca="false">COUNTIFS('Daily log'!$A$6:$A$405,"&gt;="&amp;A86,'Daily log'!$A$6:$A$405,"&lt;"&amp;A86+7)</f>
        <v>0</v>
      </c>
      <c r="D86" s="16" t="n">
        <f aca="false">COUNTIFS('Daily log'!$A$6:$A$405,"&gt;="&amp;A86,'Daily log'!$A$6:$A$405,"&lt;"&amp;A86+7,'Daily log'!$H$6:$H$405,"Yellow")</f>
        <v>0</v>
      </c>
      <c r="E86" s="16" t="n">
        <f aca="false">COUNTIFS('Daily log'!$A$6:$A$405,"&gt;="&amp;A86,'Daily log'!$A$6:$A$405,"&lt;"&amp;A86+7,'Daily log'!$H$6:$H$405,"Bad")</f>
        <v>0</v>
      </c>
      <c r="F86" s="18" t="str">
        <f aca="false">IF(E86&gt;=2,"yes","no")</f>
        <v>no</v>
      </c>
      <c r="G86" s="16" t="str">
        <f aca="false">IF(E86&gt;=2,ROUNDDOWN(B86*0.6,0),"")</f>
        <v/>
      </c>
      <c r="H86" s="14"/>
    </row>
    <row r="87" customFormat="false" ht="15" hidden="false" customHeight="false" outlineLevel="0" collapsed="false">
      <c r="A87" s="17" t="n">
        <f aca="false">A86+7</f>
        <v>46594</v>
      </c>
      <c r="B87" s="16" t="n">
        <f aca="false">SUMIFS('Training log'!$J$6:$J$1505,'Training log'!$K$6:$K$1505,A87)</f>
        <v>0</v>
      </c>
      <c r="C87" s="16" t="n">
        <f aca="false">COUNTIFS('Daily log'!$A$6:$A$405,"&gt;="&amp;A87,'Daily log'!$A$6:$A$405,"&lt;"&amp;A87+7)</f>
        <v>0</v>
      </c>
      <c r="D87" s="16" t="n">
        <f aca="false">COUNTIFS('Daily log'!$A$6:$A$405,"&gt;="&amp;A87,'Daily log'!$A$6:$A$405,"&lt;"&amp;A87+7,'Daily log'!$H$6:$H$405,"Yellow")</f>
        <v>0</v>
      </c>
      <c r="E87" s="16" t="n">
        <f aca="false">COUNTIFS('Daily log'!$A$6:$A$405,"&gt;="&amp;A87,'Daily log'!$A$6:$A$405,"&lt;"&amp;A87+7,'Daily log'!$H$6:$H$405,"Bad")</f>
        <v>0</v>
      </c>
      <c r="F87" s="18" t="str">
        <f aca="false">IF(E87&gt;=2,"yes","no")</f>
        <v>no</v>
      </c>
      <c r="G87" s="16" t="str">
        <f aca="false">IF(E87&gt;=2,ROUNDDOWN(B87*0.6,0),"")</f>
        <v/>
      </c>
      <c r="H87" s="14"/>
    </row>
    <row r="88" customFormat="false" ht="15" hidden="false" customHeight="false" outlineLevel="0" collapsed="false">
      <c r="A88" s="17" t="n">
        <f aca="false">A87+7</f>
        <v>46601</v>
      </c>
      <c r="B88" s="16" t="n">
        <f aca="false">SUMIFS('Training log'!$J$6:$J$1505,'Training log'!$K$6:$K$1505,A88)</f>
        <v>0</v>
      </c>
      <c r="C88" s="16" t="n">
        <f aca="false">COUNTIFS('Daily log'!$A$6:$A$405,"&gt;="&amp;A88,'Daily log'!$A$6:$A$405,"&lt;"&amp;A88+7)</f>
        <v>0</v>
      </c>
      <c r="D88" s="16" t="n">
        <f aca="false">COUNTIFS('Daily log'!$A$6:$A$405,"&gt;="&amp;A88,'Daily log'!$A$6:$A$405,"&lt;"&amp;A88+7,'Daily log'!$H$6:$H$405,"Yellow")</f>
        <v>0</v>
      </c>
      <c r="E88" s="16" t="n">
        <f aca="false">COUNTIFS('Daily log'!$A$6:$A$405,"&gt;="&amp;A88,'Daily log'!$A$6:$A$405,"&lt;"&amp;A88+7,'Daily log'!$H$6:$H$405,"Bad")</f>
        <v>0</v>
      </c>
      <c r="F88" s="18" t="str">
        <f aca="false">IF(E88&gt;=2,"yes","no")</f>
        <v>no</v>
      </c>
      <c r="G88" s="16" t="str">
        <f aca="false">IF(E88&gt;=2,ROUNDDOWN(B88*0.6,0),"")</f>
        <v/>
      </c>
      <c r="H88" s="14"/>
    </row>
    <row r="89" customFormat="false" ht="15" hidden="false" customHeight="false" outlineLevel="0" collapsed="false">
      <c r="A89" s="17" t="n">
        <f aca="false">A88+7</f>
        <v>46608</v>
      </c>
      <c r="B89" s="16" t="n">
        <f aca="false">SUMIFS('Training log'!$J$6:$J$1505,'Training log'!$K$6:$K$1505,A89)</f>
        <v>0</v>
      </c>
      <c r="C89" s="16" t="n">
        <f aca="false">COUNTIFS('Daily log'!$A$6:$A$405,"&gt;="&amp;A89,'Daily log'!$A$6:$A$405,"&lt;"&amp;A89+7)</f>
        <v>0</v>
      </c>
      <c r="D89" s="16" t="n">
        <f aca="false">COUNTIFS('Daily log'!$A$6:$A$405,"&gt;="&amp;A89,'Daily log'!$A$6:$A$405,"&lt;"&amp;A89+7,'Daily log'!$H$6:$H$405,"Yellow")</f>
        <v>0</v>
      </c>
      <c r="E89" s="16" t="n">
        <f aca="false">COUNTIFS('Daily log'!$A$6:$A$405,"&gt;="&amp;A89,'Daily log'!$A$6:$A$405,"&lt;"&amp;A89+7,'Daily log'!$H$6:$H$405,"Bad")</f>
        <v>0</v>
      </c>
      <c r="F89" s="18" t="str">
        <f aca="false">IF(E89&gt;=2,"yes","no")</f>
        <v>no</v>
      </c>
      <c r="G89" s="16" t="str">
        <f aca="false">IF(E89&gt;=2,ROUNDDOWN(B89*0.6,0),"")</f>
        <v/>
      </c>
      <c r="H89" s="14"/>
    </row>
    <row r="90" customFormat="false" ht="15" hidden="false" customHeight="false" outlineLevel="0" collapsed="false">
      <c r="A90" s="17" t="n">
        <f aca="false">A89+7</f>
        <v>46615</v>
      </c>
      <c r="B90" s="16" t="n">
        <f aca="false">SUMIFS('Training log'!$J$6:$J$1505,'Training log'!$K$6:$K$1505,A90)</f>
        <v>0</v>
      </c>
      <c r="C90" s="16" t="n">
        <f aca="false">COUNTIFS('Daily log'!$A$6:$A$405,"&gt;="&amp;A90,'Daily log'!$A$6:$A$405,"&lt;"&amp;A90+7)</f>
        <v>0</v>
      </c>
      <c r="D90" s="16" t="n">
        <f aca="false">COUNTIFS('Daily log'!$A$6:$A$405,"&gt;="&amp;A90,'Daily log'!$A$6:$A$405,"&lt;"&amp;A90+7,'Daily log'!$H$6:$H$405,"Yellow")</f>
        <v>0</v>
      </c>
      <c r="E90" s="16" t="n">
        <f aca="false">COUNTIFS('Daily log'!$A$6:$A$405,"&gt;="&amp;A90,'Daily log'!$A$6:$A$405,"&lt;"&amp;A90+7,'Daily log'!$H$6:$H$405,"Bad")</f>
        <v>0</v>
      </c>
      <c r="F90" s="18" t="str">
        <f aca="false">IF(E90&gt;=2,"yes","no")</f>
        <v>no</v>
      </c>
      <c r="G90" s="16" t="str">
        <f aca="false">IF(E90&gt;=2,ROUNDDOWN(B90*0.6,0),"")</f>
        <v/>
      </c>
      <c r="H90" s="14"/>
    </row>
    <row r="91" customFormat="false" ht="15" hidden="false" customHeight="false" outlineLevel="0" collapsed="false">
      <c r="A91" s="17" t="n">
        <f aca="false">A90+7</f>
        <v>46622</v>
      </c>
      <c r="B91" s="16" t="n">
        <f aca="false">SUMIFS('Training log'!$J$6:$J$1505,'Training log'!$K$6:$K$1505,A91)</f>
        <v>0</v>
      </c>
      <c r="C91" s="16" t="n">
        <f aca="false">COUNTIFS('Daily log'!$A$6:$A$405,"&gt;="&amp;A91,'Daily log'!$A$6:$A$405,"&lt;"&amp;A91+7)</f>
        <v>0</v>
      </c>
      <c r="D91" s="16" t="n">
        <f aca="false">COUNTIFS('Daily log'!$A$6:$A$405,"&gt;="&amp;A91,'Daily log'!$A$6:$A$405,"&lt;"&amp;A91+7,'Daily log'!$H$6:$H$405,"Yellow")</f>
        <v>0</v>
      </c>
      <c r="E91" s="16" t="n">
        <f aca="false">COUNTIFS('Daily log'!$A$6:$A$405,"&gt;="&amp;A91,'Daily log'!$A$6:$A$405,"&lt;"&amp;A91+7,'Daily log'!$H$6:$H$405,"Bad")</f>
        <v>0</v>
      </c>
      <c r="F91" s="18" t="str">
        <f aca="false">IF(E91&gt;=2,"yes","no")</f>
        <v>no</v>
      </c>
      <c r="G91" s="16" t="str">
        <f aca="false">IF(E91&gt;=2,ROUNDDOWN(B91*0.6,0),"")</f>
        <v/>
      </c>
      <c r="H91" s="14"/>
    </row>
    <row r="92" customFormat="false" ht="15" hidden="false" customHeight="false" outlineLevel="0" collapsed="false">
      <c r="A92" s="17" t="n">
        <f aca="false">A91+7</f>
        <v>46629</v>
      </c>
      <c r="B92" s="16" t="n">
        <f aca="false">SUMIFS('Training log'!$J$6:$J$1505,'Training log'!$K$6:$K$1505,A92)</f>
        <v>0</v>
      </c>
      <c r="C92" s="16" t="n">
        <f aca="false">COUNTIFS('Daily log'!$A$6:$A$405,"&gt;="&amp;A92,'Daily log'!$A$6:$A$405,"&lt;"&amp;A92+7)</f>
        <v>0</v>
      </c>
      <c r="D92" s="16" t="n">
        <f aca="false">COUNTIFS('Daily log'!$A$6:$A$405,"&gt;="&amp;A92,'Daily log'!$A$6:$A$405,"&lt;"&amp;A92+7,'Daily log'!$H$6:$H$405,"Yellow")</f>
        <v>0</v>
      </c>
      <c r="E92" s="16" t="n">
        <f aca="false">COUNTIFS('Daily log'!$A$6:$A$405,"&gt;="&amp;A92,'Daily log'!$A$6:$A$405,"&lt;"&amp;A92+7,'Daily log'!$H$6:$H$405,"Bad")</f>
        <v>0</v>
      </c>
      <c r="F92" s="18" t="str">
        <f aca="false">IF(E92&gt;=2,"yes","no")</f>
        <v>no</v>
      </c>
      <c r="G92" s="16" t="str">
        <f aca="false">IF(E92&gt;=2,ROUNDDOWN(B92*0.6,0),"")</f>
        <v/>
      </c>
      <c r="H92" s="14"/>
    </row>
    <row r="93" customFormat="false" ht="15" hidden="false" customHeight="false" outlineLevel="0" collapsed="false">
      <c r="A93" s="17" t="n">
        <f aca="false">A92+7</f>
        <v>46636</v>
      </c>
      <c r="B93" s="16" t="n">
        <f aca="false">SUMIFS('Training log'!$J$6:$J$1505,'Training log'!$K$6:$K$1505,A93)</f>
        <v>0</v>
      </c>
      <c r="C93" s="16" t="n">
        <f aca="false">COUNTIFS('Daily log'!$A$6:$A$405,"&gt;="&amp;A93,'Daily log'!$A$6:$A$405,"&lt;"&amp;A93+7)</f>
        <v>0</v>
      </c>
      <c r="D93" s="16" t="n">
        <f aca="false">COUNTIFS('Daily log'!$A$6:$A$405,"&gt;="&amp;A93,'Daily log'!$A$6:$A$405,"&lt;"&amp;A93+7,'Daily log'!$H$6:$H$405,"Yellow")</f>
        <v>0</v>
      </c>
      <c r="E93" s="16" t="n">
        <f aca="false">COUNTIFS('Daily log'!$A$6:$A$405,"&gt;="&amp;A93,'Daily log'!$A$6:$A$405,"&lt;"&amp;A93+7,'Daily log'!$H$6:$H$405,"Bad")</f>
        <v>0</v>
      </c>
      <c r="F93" s="18" t="str">
        <f aca="false">IF(E93&gt;=2,"yes","no")</f>
        <v>no</v>
      </c>
      <c r="G93" s="16" t="str">
        <f aca="false">IF(E93&gt;=2,ROUNDDOWN(B93*0.6,0),"")</f>
        <v/>
      </c>
      <c r="H93" s="14"/>
    </row>
    <row r="94" customFormat="false" ht="15" hidden="false" customHeight="false" outlineLevel="0" collapsed="false">
      <c r="A94" s="17" t="n">
        <f aca="false">A93+7</f>
        <v>46643</v>
      </c>
      <c r="B94" s="16" t="n">
        <f aca="false">SUMIFS('Training log'!$J$6:$J$1505,'Training log'!$K$6:$K$1505,A94)</f>
        <v>0</v>
      </c>
      <c r="C94" s="16" t="n">
        <f aca="false">COUNTIFS('Daily log'!$A$6:$A$405,"&gt;="&amp;A94,'Daily log'!$A$6:$A$405,"&lt;"&amp;A94+7)</f>
        <v>0</v>
      </c>
      <c r="D94" s="16" t="n">
        <f aca="false">COUNTIFS('Daily log'!$A$6:$A$405,"&gt;="&amp;A94,'Daily log'!$A$6:$A$405,"&lt;"&amp;A94+7,'Daily log'!$H$6:$H$405,"Yellow")</f>
        <v>0</v>
      </c>
      <c r="E94" s="16" t="n">
        <f aca="false">COUNTIFS('Daily log'!$A$6:$A$405,"&gt;="&amp;A94,'Daily log'!$A$6:$A$405,"&lt;"&amp;A94+7,'Daily log'!$H$6:$H$405,"Bad")</f>
        <v>0</v>
      </c>
      <c r="F94" s="18" t="str">
        <f aca="false">IF(E94&gt;=2,"yes","no")</f>
        <v>no</v>
      </c>
      <c r="G94" s="16" t="str">
        <f aca="false">IF(E94&gt;=2,ROUNDDOWN(B94*0.6,0),"")</f>
        <v/>
      </c>
      <c r="H94" s="14"/>
    </row>
    <row r="95" customFormat="false" ht="15" hidden="false" customHeight="false" outlineLevel="0" collapsed="false">
      <c r="A95" s="17" t="n">
        <f aca="false">A94+7</f>
        <v>46650</v>
      </c>
      <c r="B95" s="16" t="n">
        <f aca="false">SUMIFS('Training log'!$J$6:$J$1505,'Training log'!$K$6:$K$1505,A95)</f>
        <v>0</v>
      </c>
      <c r="C95" s="16" t="n">
        <f aca="false">COUNTIFS('Daily log'!$A$6:$A$405,"&gt;="&amp;A95,'Daily log'!$A$6:$A$405,"&lt;"&amp;A95+7)</f>
        <v>0</v>
      </c>
      <c r="D95" s="16" t="n">
        <f aca="false">COUNTIFS('Daily log'!$A$6:$A$405,"&gt;="&amp;A95,'Daily log'!$A$6:$A$405,"&lt;"&amp;A95+7,'Daily log'!$H$6:$H$405,"Yellow")</f>
        <v>0</v>
      </c>
      <c r="E95" s="16" t="n">
        <f aca="false">COUNTIFS('Daily log'!$A$6:$A$405,"&gt;="&amp;A95,'Daily log'!$A$6:$A$405,"&lt;"&amp;A95+7,'Daily log'!$H$6:$H$405,"Bad")</f>
        <v>0</v>
      </c>
      <c r="F95" s="18" t="str">
        <f aca="false">IF(E95&gt;=2,"yes","no")</f>
        <v>no</v>
      </c>
      <c r="G95" s="16" t="str">
        <f aca="false">IF(E95&gt;=2,ROUNDDOWN(B95*0.6,0),"")</f>
        <v/>
      </c>
      <c r="H95" s="14"/>
    </row>
    <row r="96" customFormat="false" ht="15" hidden="false" customHeight="false" outlineLevel="0" collapsed="false">
      <c r="A96" s="17" t="n">
        <f aca="false">A95+7</f>
        <v>46657</v>
      </c>
      <c r="B96" s="16" t="n">
        <f aca="false">SUMIFS('Training log'!$J$6:$J$1505,'Training log'!$K$6:$K$1505,A96)</f>
        <v>0</v>
      </c>
      <c r="C96" s="16" t="n">
        <f aca="false">COUNTIFS('Daily log'!$A$6:$A$405,"&gt;="&amp;A96,'Daily log'!$A$6:$A$405,"&lt;"&amp;A96+7)</f>
        <v>0</v>
      </c>
      <c r="D96" s="16" t="n">
        <f aca="false">COUNTIFS('Daily log'!$A$6:$A$405,"&gt;="&amp;A96,'Daily log'!$A$6:$A$405,"&lt;"&amp;A96+7,'Daily log'!$H$6:$H$405,"Yellow")</f>
        <v>0</v>
      </c>
      <c r="E96" s="16" t="n">
        <f aca="false">COUNTIFS('Daily log'!$A$6:$A$405,"&gt;="&amp;A96,'Daily log'!$A$6:$A$405,"&lt;"&amp;A96+7,'Daily log'!$H$6:$H$405,"Bad")</f>
        <v>0</v>
      </c>
      <c r="F96" s="18" t="str">
        <f aca="false">IF(E96&gt;=2,"yes","no")</f>
        <v>no</v>
      </c>
      <c r="G96" s="16" t="str">
        <f aca="false">IF(E96&gt;=2,ROUNDDOWN(B96*0.6,0),"")</f>
        <v/>
      </c>
      <c r="H96" s="14"/>
    </row>
    <row r="97" customFormat="false" ht="15" hidden="false" customHeight="false" outlineLevel="0" collapsed="false">
      <c r="A97" s="17" t="n">
        <f aca="false">A96+7</f>
        <v>46664</v>
      </c>
      <c r="B97" s="16" t="n">
        <f aca="false">SUMIFS('Training log'!$J$6:$J$1505,'Training log'!$K$6:$K$1505,A97)</f>
        <v>0</v>
      </c>
      <c r="C97" s="16" t="n">
        <f aca="false">COUNTIFS('Daily log'!$A$6:$A$405,"&gt;="&amp;A97,'Daily log'!$A$6:$A$405,"&lt;"&amp;A97+7)</f>
        <v>0</v>
      </c>
      <c r="D97" s="16" t="n">
        <f aca="false">COUNTIFS('Daily log'!$A$6:$A$405,"&gt;="&amp;A97,'Daily log'!$A$6:$A$405,"&lt;"&amp;A97+7,'Daily log'!$H$6:$H$405,"Yellow")</f>
        <v>0</v>
      </c>
      <c r="E97" s="16" t="n">
        <f aca="false">COUNTIFS('Daily log'!$A$6:$A$405,"&gt;="&amp;A97,'Daily log'!$A$6:$A$405,"&lt;"&amp;A97+7,'Daily log'!$H$6:$H$405,"Bad")</f>
        <v>0</v>
      </c>
      <c r="F97" s="18" t="str">
        <f aca="false">IF(E97&gt;=2,"yes","no")</f>
        <v>no</v>
      </c>
      <c r="G97" s="16" t="str">
        <f aca="false">IF(E97&gt;=2,ROUNDDOWN(B97*0.6,0),"")</f>
        <v/>
      </c>
      <c r="H97" s="14"/>
    </row>
    <row r="98" customFormat="false" ht="15" hidden="false" customHeight="false" outlineLevel="0" collapsed="false">
      <c r="A98" s="17" t="n">
        <f aca="false">A97+7</f>
        <v>46671</v>
      </c>
      <c r="B98" s="16" t="n">
        <f aca="false">SUMIFS('Training log'!$J$6:$J$1505,'Training log'!$K$6:$K$1505,A98)</f>
        <v>0</v>
      </c>
      <c r="C98" s="16" t="n">
        <f aca="false">COUNTIFS('Daily log'!$A$6:$A$405,"&gt;="&amp;A98,'Daily log'!$A$6:$A$405,"&lt;"&amp;A98+7)</f>
        <v>0</v>
      </c>
      <c r="D98" s="16" t="n">
        <f aca="false">COUNTIFS('Daily log'!$A$6:$A$405,"&gt;="&amp;A98,'Daily log'!$A$6:$A$405,"&lt;"&amp;A98+7,'Daily log'!$H$6:$H$405,"Yellow")</f>
        <v>0</v>
      </c>
      <c r="E98" s="16" t="n">
        <f aca="false">COUNTIFS('Daily log'!$A$6:$A$405,"&gt;="&amp;A98,'Daily log'!$A$6:$A$405,"&lt;"&amp;A98+7,'Daily log'!$H$6:$H$405,"Bad")</f>
        <v>0</v>
      </c>
      <c r="F98" s="18" t="str">
        <f aca="false">IF(E98&gt;=2,"yes","no")</f>
        <v>no</v>
      </c>
      <c r="G98" s="16" t="str">
        <f aca="false">IF(E98&gt;=2,ROUNDDOWN(B98*0.6,0),"")</f>
        <v/>
      </c>
      <c r="H98" s="14"/>
    </row>
    <row r="99" customFormat="false" ht="15" hidden="false" customHeight="false" outlineLevel="0" collapsed="false">
      <c r="A99" s="17" t="n">
        <f aca="false">A98+7</f>
        <v>46678</v>
      </c>
      <c r="B99" s="16" t="n">
        <f aca="false">SUMIFS('Training log'!$J$6:$J$1505,'Training log'!$K$6:$K$1505,A99)</f>
        <v>0</v>
      </c>
      <c r="C99" s="16" t="n">
        <f aca="false">COUNTIFS('Daily log'!$A$6:$A$405,"&gt;="&amp;A99,'Daily log'!$A$6:$A$405,"&lt;"&amp;A99+7)</f>
        <v>0</v>
      </c>
      <c r="D99" s="16" t="n">
        <f aca="false">COUNTIFS('Daily log'!$A$6:$A$405,"&gt;="&amp;A99,'Daily log'!$A$6:$A$405,"&lt;"&amp;A99+7,'Daily log'!$H$6:$H$405,"Yellow")</f>
        <v>0</v>
      </c>
      <c r="E99" s="16" t="n">
        <f aca="false">COUNTIFS('Daily log'!$A$6:$A$405,"&gt;="&amp;A99,'Daily log'!$A$6:$A$405,"&lt;"&amp;A99+7,'Daily log'!$H$6:$H$405,"Bad")</f>
        <v>0</v>
      </c>
      <c r="F99" s="18" t="str">
        <f aca="false">IF(E99&gt;=2,"yes","no")</f>
        <v>no</v>
      </c>
      <c r="G99" s="16" t="str">
        <f aca="false">IF(E99&gt;=2,ROUNDDOWN(B99*0.6,0),"")</f>
        <v/>
      </c>
      <c r="H99" s="14"/>
    </row>
    <row r="100" customFormat="false" ht="15" hidden="false" customHeight="false" outlineLevel="0" collapsed="false">
      <c r="A100" s="17" t="n">
        <f aca="false">A99+7</f>
        <v>46685</v>
      </c>
      <c r="B100" s="16" t="n">
        <f aca="false">SUMIFS('Training log'!$J$6:$J$1505,'Training log'!$K$6:$K$1505,A100)</f>
        <v>0</v>
      </c>
      <c r="C100" s="16" t="n">
        <f aca="false">COUNTIFS('Daily log'!$A$6:$A$405,"&gt;="&amp;A100,'Daily log'!$A$6:$A$405,"&lt;"&amp;A100+7)</f>
        <v>0</v>
      </c>
      <c r="D100" s="16" t="n">
        <f aca="false">COUNTIFS('Daily log'!$A$6:$A$405,"&gt;="&amp;A100,'Daily log'!$A$6:$A$405,"&lt;"&amp;A100+7,'Daily log'!$H$6:$H$405,"Yellow")</f>
        <v>0</v>
      </c>
      <c r="E100" s="16" t="n">
        <f aca="false">COUNTIFS('Daily log'!$A$6:$A$405,"&gt;="&amp;A100,'Daily log'!$A$6:$A$405,"&lt;"&amp;A100+7,'Daily log'!$H$6:$H$405,"Bad")</f>
        <v>0</v>
      </c>
      <c r="F100" s="18" t="str">
        <f aca="false">IF(E100&gt;=2,"yes","no")</f>
        <v>no</v>
      </c>
      <c r="G100" s="16" t="str">
        <f aca="false">IF(E100&gt;=2,ROUNDDOWN(B100*0.6,0),"")</f>
        <v/>
      </c>
      <c r="H100" s="14"/>
    </row>
    <row r="101" customFormat="false" ht="15" hidden="false" customHeight="false" outlineLevel="0" collapsed="false">
      <c r="A101" s="17" t="n">
        <f aca="false">A100+7</f>
        <v>46692</v>
      </c>
      <c r="B101" s="16" t="n">
        <f aca="false">SUMIFS('Training log'!$J$6:$J$1505,'Training log'!$K$6:$K$1505,A101)</f>
        <v>0</v>
      </c>
      <c r="C101" s="16" t="n">
        <f aca="false">COUNTIFS('Daily log'!$A$6:$A$405,"&gt;="&amp;A101,'Daily log'!$A$6:$A$405,"&lt;"&amp;A101+7)</f>
        <v>0</v>
      </c>
      <c r="D101" s="16" t="n">
        <f aca="false">COUNTIFS('Daily log'!$A$6:$A$405,"&gt;="&amp;A101,'Daily log'!$A$6:$A$405,"&lt;"&amp;A101+7,'Daily log'!$H$6:$H$405,"Yellow")</f>
        <v>0</v>
      </c>
      <c r="E101" s="16" t="n">
        <f aca="false">COUNTIFS('Daily log'!$A$6:$A$405,"&gt;="&amp;A101,'Daily log'!$A$6:$A$405,"&lt;"&amp;A101+7,'Daily log'!$H$6:$H$405,"Bad")</f>
        <v>0</v>
      </c>
      <c r="F101" s="18" t="str">
        <f aca="false">IF(E101&gt;=2,"yes","no")</f>
        <v>no</v>
      </c>
      <c r="G101" s="16" t="str">
        <f aca="false">IF(E101&gt;=2,ROUNDDOWN(B101*0.6,0),"")</f>
        <v/>
      </c>
      <c r="H101" s="14"/>
    </row>
    <row r="102" customFormat="false" ht="15" hidden="false" customHeight="false" outlineLevel="0" collapsed="false">
      <c r="A102" s="17" t="n">
        <f aca="false">A101+7</f>
        <v>46699</v>
      </c>
      <c r="B102" s="16" t="n">
        <f aca="false">SUMIFS('Training log'!$J$6:$J$1505,'Training log'!$K$6:$K$1505,A102)</f>
        <v>0</v>
      </c>
      <c r="C102" s="16" t="n">
        <f aca="false">COUNTIFS('Daily log'!$A$6:$A$405,"&gt;="&amp;A102,'Daily log'!$A$6:$A$405,"&lt;"&amp;A102+7)</f>
        <v>0</v>
      </c>
      <c r="D102" s="16" t="n">
        <f aca="false">COUNTIFS('Daily log'!$A$6:$A$405,"&gt;="&amp;A102,'Daily log'!$A$6:$A$405,"&lt;"&amp;A102+7,'Daily log'!$H$6:$H$405,"Yellow")</f>
        <v>0</v>
      </c>
      <c r="E102" s="16" t="n">
        <f aca="false">COUNTIFS('Daily log'!$A$6:$A$405,"&gt;="&amp;A102,'Daily log'!$A$6:$A$405,"&lt;"&amp;A102+7,'Daily log'!$H$6:$H$405,"Bad")</f>
        <v>0</v>
      </c>
      <c r="F102" s="18" t="str">
        <f aca="false">IF(E102&gt;=2,"yes","no")</f>
        <v>no</v>
      </c>
      <c r="G102" s="16" t="str">
        <f aca="false">IF(E102&gt;=2,ROUNDDOWN(B102*0.6,0),"")</f>
        <v/>
      </c>
      <c r="H102" s="14"/>
    </row>
    <row r="103" customFormat="false" ht="15" hidden="false" customHeight="false" outlineLevel="0" collapsed="false">
      <c r="A103" s="17" t="n">
        <f aca="false">A102+7</f>
        <v>46706</v>
      </c>
      <c r="B103" s="16" t="n">
        <f aca="false">SUMIFS('Training log'!$J$6:$J$1505,'Training log'!$K$6:$K$1505,A103)</f>
        <v>0</v>
      </c>
      <c r="C103" s="16" t="n">
        <f aca="false">COUNTIFS('Daily log'!$A$6:$A$405,"&gt;="&amp;A103,'Daily log'!$A$6:$A$405,"&lt;"&amp;A103+7)</f>
        <v>0</v>
      </c>
      <c r="D103" s="16" t="n">
        <f aca="false">COUNTIFS('Daily log'!$A$6:$A$405,"&gt;="&amp;A103,'Daily log'!$A$6:$A$405,"&lt;"&amp;A103+7,'Daily log'!$H$6:$H$405,"Yellow")</f>
        <v>0</v>
      </c>
      <c r="E103" s="16" t="n">
        <f aca="false">COUNTIFS('Daily log'!$A$6:$A$405,"&gt;="&amp;A103,'Daily log'!$A$6:$A$405,"&lt;"&amp;A103+7,'Daily log'!$H$6:$H$405,"Bad")</f>
        <v>0</v>
      </c>
      <c r="F103" s="18" t="str">
        <f aca="false">IF(E103&gt;=2,"yes","no")</f>
        <v>no</v>
      </c>
      <c r="G103" s="16" t="str">
        <f aca="false">IF(E103&gt;=2,ROUNDDOWN(B103*0.6,0),"")</f>
        <v/>
      </c>
      <c r="H103" s="14"/>
    </row>
    <row r="104" customFormat="false" ht="15" hidden="false" customHeight="false" outlineLevel="0" collapsed="false">
      <c r="A104" s="17" t="n">
        <f aca="false">A103+7</f>
        <v>46713</v>
      </c>
      <c r="B104" s="16" t="n">
        <f aca="false">SUMIFS('Training log'!$J$6:$J$1505,'Training log'!$K$6:$K$1505,A104)</f>
        <v>0</v>
      </c>
      <c r="C104" s="16" t="n">
        <f aca="false">COUNTIFS('Daily log'!$A$6:$A$405,"&gt;="&amp;A104,'Daily log'!$A$6:$A$405,"&lt;"&amp;A104+7)</f>
        <v>0</v>
      </c>
      <c r="D104" s="16" t="n">
        <f aca="false">COUNTIFS('Daily log'!$A$6:$A$405,"&gt;="&amp;A104,'Daily log'!$A$6:$A$405,"&lt;"&amp;A104+7,'Daily log'!$H$6:$H$405,"Yellow")</f>
        <v>0</v>
      </c>
      <c r="E104" s="16" t="n">
        <f aca="false">COUNTIFS('Daily log'!$A$6:$A$405,"&gt;="&amp;A104,'Daily log'!$A$6:$A$405,"&lt;"&amp;A104+7,'Daily log'!$H$6:$H$405,"Bad")</f>
        <v>0</v>
      </c>
      <c r="F104" s="18" t="str">
        <f aca="false">IF(E104&gt;=2,"yes","no")</f>
        <v>no</v>
      </c>
      <c r="G104" s="16" t="str">
        <f aca="false">IF(E104&gt;=2,ROUNDDOWN(B104*0.6,0),"")</f>
        <v/>
      </c>
      <c r="H104" s="14"/>
    </row>
    <row r="105" customFormat="false" ht="15" hidden="false" customHeight="false" outlineLevel="0" collapsed="false">
      <c r="A105" s="17" t="n">
        <f aca="false">A104+7</f>
        <v>46720</v>
      </c>
      <c r="B105" s="16" t="n">
        <f aca="false">SUMIFS('Training log'!$J$6:$J$1505,'Training log'!$K$6:$K$1505,A105)</f>
        <v>0</v>
      </c>
      <c r="C105" s="16" t="n">
        <f aca="false">COUNTIFS('Daily log'!$A$6:$A$405,"&gt;="&amp;A105,'Daily log'!$A$6:$A$405,"&lt;"&amp;A105+7)</f>
        <v>0</v>
      </c>
      <c r="D105" s="16" t="n">
        <f aca="false">COUNTIFS('Daily log'!$A$6:$A$405,"&gt;="&amp;A105,'Daily log'!$A$6:$A$405,"&lt;"&amp;A105+7,'Daily log'!$H$6:$H$405,"Yellow")</f>
        <v>0</v>
      </c>
      <c r="E105" s="16" t="n">
        <f aca="false">COUNTIFS('Daily log'!$A$6:$A$405,"&gt;="&amp;A105,'Daily log'!$A$6:$A$405,"&lt;"&amp;A105+7,'Daily log'!$H$6:$H$405,"Bad")</f>
        <v>0</v>
      </c>
      <c r="F105" s="18" t="str">
        <f aca="false">IF(E105&gt;=2,"yes","no")</f>
        <v>no</v>
      </c>
      <c r="G105" s="16" t="str">
        <f aca="false">IF(E105&gt;=2,ROUNDDOWN(B105*0.6,0),"")</f>
        <v/>
      </c>
      <c r="H105" s="14"/>
    </row>
    <row r="106" customFormat="false" ht="15" hidden="false" customHeight="false" outlineLevel="0" collapsed="false">
      <c r="A106" s="17" t="n">
        <f aca="false">A105+7</f>
        <v>46727</v>
      </c>
      <c r="B106" s="16" t="n">
        <f aca="false">SUMIFS('Training log'!$J$6:$J$1505,'Training log'!$K$6:$K$1505,A106)</f>
        <v>0</v>
      </c>
      <c r="C106" s="16" t="n">
        <f aca="false">COUNTIFS('Daily log'!$A$6:$A$405,"&gt;="&amp;A106,'Daily log'!$A$6:$A$405,"&lt;"&amp;A106+7)</f>
        <v>0</v>
      </c>
      <c r="D106" s="16" t="n">
        <f aca="false">COUNTIFS('Daily log'!$A$6:$A$405,"&gt;="&amp;A106,'Daily log'!$A$6:$A$405,"&lt;"&amp;A106+7,'Daily log'!$H$6:$H$405,"Yellow")</f>
        <v>0</v>
      </c>
      <c r="E106" s="16" t="n">
        <f aca="false">COUNTIFS('Daily log'!$A$6:$A$405,"&gt;="&amp;A106,'Daily log'!$A$6:$A$405,"&lt;"&amp;A106+7,'Daily log'!$H$6:$H$405,"Bad")</f>
        <v>0</v>
      </c>
      <c r="F106" s="18" t="str">
        <f aca="false">IF(E106&gt;=2,"yes","no")</f>
        <v>no</v>
      </c>
      <c r="G106" s="16" t="str">
        <f aca="false">IF(E106&gt;=2,ROUNDDOWN(B106*0.6,0),"")</f>
        <v/>
      </c>
      <c r="H106" s="14"/>
    </row>
    <row r="107" customFormat="false" ht="15" hidden="false" customHeight="false" outlineLevel="0" collapsed="false">
      <c r="A107" s="17" t="n">
        <f aca="false">A106+7</f>
        <v>46734</v>
      </c>
      <c r="B107" s="16" t="n">
        <f aca="false">SUMIFS('Training log'!$J$6:$J$1505,'Training log'!$K$6:$K$1505,A107)</f>
        <v>0</v>
      </c>
      <c r="C107" s="16" t="n">
        <f aca="false">COUNTIFS('Daily log'!$A$6:$A$405,"&gt;="&amp;A107,'Daily log'!$A$6:$A$405,"&lt;"&amp;A107+7)</f>
        <v>0</v>
      </c>
      <c r="D107" s="16" t="n">
        <f aca="false">COUNTIFS('Daily log'!$A$6:$A$405,"&gt;="&amp;A107,'Daily log'!$A$6:$A$405,"&lt;"&amp;A107+7,'Daily log'!$H$6:$H$405,"Yellow")</f>
        <v>0</v>
      </c>
      <c r="E107" s="16" t="n">
        <f aca="false">COUNTIFS('Daily log'!$A$6:$A$405,"&gt;="&amp;A107,'Daily log'!$A$6:$A$405,"&lt;"&amp;A107+7,'Daily log'!$H$6:$H$405,"Bad")</f>
        <v>0</v>
      </c>
      <c r="F107" s="18" t="str">
        <f aca="false">IF(E107&gt;=2,"yes","no")</f>
        <v>no</v>
      </c>
      <c r="G107" s="16" t="str">
        <f aca="false">IF(E107&gt;=2,ROUNDDOWN(B107*0.6,0),"")</f>
        <v/>
      </c>
      <c r="H107" s="14"/>
    </row>
    <row r="108" customFormat="false" ht="15" hidden="false" customHeight="false" outlineLevel="0" collapsed="false">
      <c r="A108" s="17" t="n">
        <f aca="false">A107+7</f>
        <v>46741</v>
      </c>
      <c r="B108" s="16" t="n">
        <f aca="false">SUMIFS('Training log'!$J$6:$J$1505,'Training log'!$K$6:$K$1505,A108)</f>
        <v>0</v>
      </c>
      <c r="C108" s="16" t="n">
        <f aca="false">COUNTIFS('Daily log'!$A$6:$A$405,"&gt;="&amp;A108,'Daily log'!$A$6:$A$405,"&lt;"&amp;A108+7)</f>
        <v>0</v>
      </c>
      <c r="D108" s="16" t="n">
        <f aca="false">COUNTIFS('Daily log'!$A$6:$A$405,"&gt;="&amp;A108,'Daily log'!$A$6:$A$405,"&lt;"&amp;A108+7,'Daily log'!$H$6:$H$405,"Yellow")</f>
        <v>0</v>
      </c>
      <c r="E108" s="16" t="n">
        <f aca="false">COUNTIFS('Daily log'!$A$6:$A$405,"&gt;="&amp;A108,'Daily log'!$A$6:$A$405,"&lt;"&amp;A108+7,'Daily log'!$H$6:$H$405,"Bad")</f>
        <v>0</v>
      </c>
      <c r="F108" s="18" t="str">
        <f aca="false">IF(E108&gt;=2,"yes","no")</f>
        <v>no</v>
      </c>
      <c r="G108" s="16" t="str">
        <f aca="false">IF(E108&gt;=2,ROUNDDOWN(B108*0.6,0),"")</f>
        <v/>
      </c>
      <c r="H108" s="14"/>
    </row>
    <row r="109" customFormat="false" ht="15" hidden="false" customHeight="false" outlineLevel="0" collapsed="false">
      <c r="A109" s="17" t="n">
        <f aca="false">A108+7</f>
        <v>46748</v>
      </c>
      <c r="B109" s="16" t="n">
        <f aca="false">SUMIFS('Training log'!$J$6:$J$1505,'Training log'!$K$6:$K$1505,A109)</f>
        <v>0</v>
      </c>
      <c r="C109" s="16" t="n">
        <f aca="false">COUNTIFS('Daily log'!$A$6:$A$405,"&gt;="&amp;A109,'Daily log'!$A$6:$A$405,"&lt;"&amp;A109+7)</f>
        <v>0</v>
      </c>
      <c r="D109" s="16" t="n">
        <f aca="false">COUNTIFS('Daily log'!$A$6:$A$405,"&gt;="&amp;A109,'Daily log'!$A$6:$A$405,"&lt;"&amp;A109+7,'Daily log'!$H$6:$H$405,"Yellow")</f>
        <v>0</v>
      </c>
      <c r="E109" s="16" t="n">
        <f aca="false">COUNTIFS('Daily log'!$A$6:$A$405,"&gt;="&amp;A109,'Daily log'!$A$6:$A$405,"&lt;"&amp;A109+7,'Daily log'!$H$6:$H$405,"Bad")</f>
        <v>0</v>
      </c>
      <c r="F109" s="18" t="str">
        <f aca="false">IF(E109&gt;=2,"yes","no")</f>
        <v>no</v>
      </c>
      <c r="G109" s="16" t="str">
        <f aca="false">IF(E109&gt;=2,ROUNDDOWN(B109*0.6,0),"")</f>
        <v/>
      </c>
      <c r="H109" s="14"/>
    </row>
  </sheetData>
  <conditionalFormatting sqref="F6:F109">
    <cfRule type="expression" priority="2" aboveAverage="0" equalAverage="0" bottom="0" percent="0" rank="0" text="" dxfId="0">
      <formula>$F6="yes"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8" min="6" style="0" width="11"/>
    <col collapsed="false" customWidth="true" hidden="false" outlineLevel="0" max="11" min="9" style="0" width="12"/>
    <col collapsed="false" customWidth="true" hidden="false" outlineLevel="0" max="12" min="12" style="0" width="40"/>
  </cols>
  <sheetData>
    <row r="1" customFormat="false" ht="19.7" hidden="false" customHeight="false" outlineLevel="0" collapsed="false">
      <c r="A1" s="7" t="s">
        <v>60</v>
      </c>
    </row>
    <row r="2" customFormat="false" ht="15" hidden="false" customHeight="false" outlineLevel="0" collapsed="false">
      <c r="A2" s="8" t="s">
        <v>61</v>
      </c>
    </row>
    <row r="3" customFormat="false" ht="15" hidden="false" customHeight="false" outlineLevel="0" collapsed="false">
      <c r="A3" s="8" t="s">
        <v>20</v>
      </c>
    </row>
    <row r="4" customFormat="false" ht="15" hidden="false" customHeight="false" outlineLevel="0" collapsed="false">
      <c r="L4" s="8" t="s">
        <v>62</v>
      </c>
    </row>
    <row r="5" customFormat="false" ht="30" hidden="false" customHeight="true" outlineLevel="0" collapsed="false">
      <c r="A5" s="9" t="s">
        <v>22</v>
      </c>
      <c r="B5" s="9" t="s">
        <v>63</v>
      </c>
      <c r="C5" s="9" t="s">
        <v>64</v>
      </c>
      <c r="D5" s="9" t="s">
        <v>65</v>
      </c>
      <c r="E5" s="9" t="s">
        <v>66</v>
      </c>
      <c r="F5" s="9" t="s">
        <v>67</v>
      </c>
      <c r="G5" s="9" t="s">
        <v>68</v>
      </c>
      <c r="H5" s="9" t="s">
        <v>69</v>
      </c>
      <c r="I5" s="9" t="s">
        <v>70</v>
      </c>
      <c r="J5" s="9" t="s">
        <v>71</v>
      </c>
      <c r="K5" s="9" t="s">
        <v>72</v>
      </c>
      <c r="L5" s="9" t="s">
        <v>31</v>
      </c>
    </row>
    <row r="6" customFormat="false" ht="15" hidden="false" customHeight="false" outlineLevel="0" collapsed="false">
      <c r="A6" s="10" t="n">
        <v>46027</v>
      </c>
      <c r="B6" s="11" t="n">
        <v>95</v>
      </c>
      <c r="C6" s="11" t="n">
        <v>120</v>
      </c>
      <c r="D6" s="11" t="n">
        <v>85</v>
      </c>
      <c r="E6" s="11" t="n">
        <v>88</v>
      </c>
      <c r="F6" s="19" t="n">
        <f aca="false">IF(COUNT(B6:E6)&lt;4,"",B6/C6)</f>
        <v>0.791666666666667</v>
      </c>
      <c r="G6" s="19" t="n">
        <f aca="false">IF(COUNT(B6:E6)&lt;4,"",AVERAGE(D6:E6)/C6)</f>
        <v>0.720833333333333</v>
      </c>
      <c r="H6" s="15" t="n">
        <f aca="false">IF(COUNT(B6:E6)&lt;4,"",ABS(D6-E6)/MAX(D6:E6)*100)</f>
        <v>3.40909090909091</v>
      </c>
      <c r="I6" s="18" t="str">
        <f aca="false">IF(F6="","",IF(F6&lt;1,"pass","not yet"))</f>
        <v>pass</v>
      </c>
      <c r="J6" s="18" t="str">
        <f aca="false">IF(G6="","",IF(ABS(G6-0.75)&lt;=0.1,"pass","not yet"))</f>
        <v>pass</v>
      </c>
      <c r="K6" s="18" t="str">
        <f aca="false">IF(H6="","",IF(H6&lt;=5,"pass","not yet"))</f>
        <v>pass</v>
      </c>
      <c r="L6" s="11" t="s">
        <v>50</v>
      </c>
    </row>
    <row r="7" customFormat="false" ht="15" hidden="false" customHeight="false" outlineLevel="0" collapsed="false">
      <c r="A7" s="10"/>
      <c r="B7" s="11"/>
      <c r="C7" s="11"/>
      <c r="D7" s="11"/>
      <c r="E7" s="11"/>
      <c r="F7" s="19" t="str">
        <f aca="false">IF(COUNT(B7:E7)&lt;4,"",B7/C7)</f>
        <v/>
      </c>
      <c r="G7" s="19" t="str">
        <f aca="false">IF(COUNT(B7:E7)&lt;4,"",AVERAGE(D7:E7)/C7)</f>
        <v/>
      </c>
      <c r="H7" s="15" t="str">
        <f aca="false">IF(COUNT(B7:E7)&lt;4,"",ABS(D7-E7)/MAX(D7:E7)*100)</f>
        <v/>
      </c>
      <c r="I7" s="18" t="str">
        <f aca="false">IF(F7="","",IF(F7&lt;1,"pass","not yet"))</f>
        <v/>
      </c>
      <c r="J7" s="18" t="str">
        <f aca="false">IF(G7="","",IF(ABS(G7-0.75)&lt;=0.1,"pass","not yet"))</f>
        <v/>
      </c>
      <c r="K7" s="18" t="str">
        <f aca="false">IF(H7="","",IF(H7&lt;=5,"pass","not yet"))</f>
        <v/>
      </c>
      <c r="L7" s="11"/>
    </row>
    <row r="8" customFormat="false" ht="15" hidden="false" customHeight="false" outlineLevel="0" collapsed="false">
      <c r="A8" s="10"/>
      <c r="B8" s="11"/>
      <c r="C8" s="11"/>
      <c r="D8" s="11"/>
      <c r="E8" s="11"/>
      <c r="F8" s="19" t="str">
        <f aca="false">IF(COUNT(B8:E8)&lt;4,"",B8/C8)</f>
        <v/>
      </c>
      <c r="G8" s="19" t="str">
        <f aca="false">IF(COUNT(B8:E8)&lt;4,"",AVERAGE(D8:E8)/C8)</f>
        <v/>
      </c>
      <c r="H8" s="15" t="str">
        <f aca="false">IF(COUNT(B8:E8)&lt;4,"",ABS(D8-E8)/MAX(D8:E8)*100)</f>
        <v/>
      </c>
      <c r="I8" s="18" t="str">
        <f aca="false">IF(F8="","",IF(F8&lt;1,"pass","not yet"))</f>
        <v/>
      </c>
      <c r="J8" s="18" t="str">
        <f aca="false">IF(G8="","",IF(ABS(G8-0.75)&lt;=0.1,"pass","not yet"))</f>
        <v/>
      </c>
      <c r="K8" s="18" t="str">
        <f aca="false">IF(H8="","",IF(H8&lt;=5,"pass","not yet"))</f>
        <v/>
      </c>
      <c r="L8" s="11"/>
    </row>
    <row r="9" customFormat="false" ht="15" hidden="false" customHeight="false" outlineLevel="0" collapsed="false">
      <c r="A9" s="10"/>
      <c r="B9" s="11"/>
      <c r="C9" s="11"/>
      <c r="D9" s="11"/>
      <c r="E9" s="11"/>
      <c r="F9" s="19" t="str">
        <f aca="false">IF(COUNT(B9:E9)&lt;4,"",B9/C9)</f>
        <v/>
      </c>
      <c r="G9" s="19" t="str">
        <f aca="false">IF(COUNT(B9:E9)&lt;4,"",AVERAGE(D9:E9)/C9)</f>
        <v/>
      </c>
      <c r="H9" s="15" t="str">
        <f aca="false">IF(COUNT(B9:E9)&lt;4,"",ABS(D9-E9)/MAX(D9:E9)*100)</f>
        <v/>
      </c>
      <c r="I9" s="18" t="str">
        <f aca="false">IF(F9="","",IF(F9&lt;1,"pass","not yet"))</f>
        <v/>
      </c>
      <c r="J9" s="18" t="str">
        <f aca="false">IF(G9="","",IF(ABS(G9-0.75)&lt;=0.1,"pass","not yet"))</f>
        <v/>
      </c>
      <c r="K9" s="18" t="str">
        <f aca="false">IF(H9="","",IF(H9&lt;=5,"pass","not yet"))</f>
        <v/>
      </c>
      <c r="L9" s="11"/>
    </row>
    <row r="10" customFormat="false" ht="15" hidden="false" customHeight="false" outlineLevel="0" collapsed="false">
      <c r="A10" s="10"/>
      <c r="B10" s="11"/>
      <c r="C10" s="11"/>
      <c r="D10" s="11"/>
      <c r="E10" s="11"/>
      <c r="F10" s="19" t="str">
        <f aca="false">IF(COUNT(B10:E10)&lt;4,"",B10/C10)</f>
        <v/>
      </c>
      <c r="G10" s="19" t="str">
        <f aca="false">IF(COUNT(B10:E10)&lt;4,"",AVERAGE(D10:E10)/C10)</f>
        <v/>
      </c>
      <c r="H10" s="15" t="str">
        <f aca="false">IF(COUNT(B10:E10)&lt;4,"",ABS(D10-E10)/MAX(D10:E10)*100)</f>
        <v/>
      </c>
      <c r="I10" s="18" t="str">
        <f aca="false">IF(F10="","",IF(F10&lt;1,"pass","not yet"))</f>
        <v/>
      </c>
      <c r="J10" s="18" t="str">
        <f aca="false">IF(G10="","",IF(ABS(G10-0.75)&lt;=0.1,"pass","not yet"))</f>
        <v/>
      </c>
      <c r="K10" s="18" t="str">
        <f aca="false">IF(H10="","",IF(H10&lt;=5,"pass","not yet"))</f>
        <v/>
      </c>
      <c r="L10" s="11"/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9" t="str">
        <f aca="false">IF(COUNT(B11:E11)&lt;4,"",B11/C11)</f>
        <v/>
      </c>
      <c r="G11" s="19" t="str">
        <f aca="false">IF(COUNT(B11:E11)&lt;4,"",AVERAGE(D11:E11)/C11)</f>
        <v/>
      </c>
      <c r="H11" s="15" t="str">
        <f aca="false">IF(COUNT(B11:E11)&lt;4,"",ABS(D11-E11)/MAX(D11:E11)*100)</f>
        <v/>
      </c>
      <c r="I11" s="18" t="str">
        <f aca="false">IF(F11="","",IF(F11&lt;1,"pass","not yet"))</f>
        <v/>
      </c>
      <c r="J11" s="18" t="str">
        <f aca="false">IF(G11="","",IF(ABS(G11-0.75)&lt;=0.1,"pass","not yet"))</f>
        <v/>
      </c>
      <c r="K11" s="18" t="str">
        <f aca="false">IF(H11="","",IF(H11&lt;=5,"pass","not yet"))</f>
        <v/>
      </c>
      <c r="L11" s="11"/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9" t="str">
        <f aca="false">IF(COUNT(B12:E12)&lt;4,"",B12/C12)</f>
        <v/>
      </c>
      <c r="G12" s="19" t="str">
        <f aca="false">IF(COUNT(B12:E12)&lt;4,"",AVERAGE(D12:E12)/C12)</f>
        <v/>
      </c>
      <c r="H12" s="15" t="str">
        <f aca="false">IF(COUNT(B12:E12)&lt;4,"",ABS(D12-E12)/MAX(D12:E12)*100)</f>
        <v/>
      </c>
      <c r="I12" s="18" t="str">
        <f aca="false">IF(F12="","",IF(F12&lt;1,"pass","not yet"))</f>
        <v/>
      </c>
      <c r="J12" s="18" t="str">
        <f aca="false">IF(G12="","",IF(ABS(G12-0.75)&lt;=0.1,"pass","not yet"))</f>
        <v/>
      </c>
      <c r="K12" s="18" t="str">
        <f aca="false">IF(H12="","",IF(H12&lt;=5,"pass","not yet"))</f>
        <v/>
      </c>
      <c r="L12" s="11"/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9" t="str">
        <f aca="false">IF(COUNT(B13:E13)&lt;4,"",B13/C13)</f>
        <v/>
      </c>
      <c r="G13" s="19" t="str">
        <f aca="false">IF(COUNT(B13:E13)&lt;4,"",AVERAGE(D13:E13)/C13)</f>
        <v/>
      </c>
      <c r="H13" s="15" t="str">
        <f aca="false">IF(COUNT(B13:E13)&lt;4,"",ABS(D13-E13)/MAX(D13:E13)*100)</f>
        <v/>
      </c>
      <c r="I13" s="18" t="str">
        <f aca="false">IF(F13="","",IF(F13&lt;1,"pass","not yet"))</f>
        <v/>
      </c>
      <c r="J13" s="18" t="str">
        <f aca="false">IF(G13="","",IF(ABS(G13-0.75)&lt;=0.1,"pass","not yet"))</f>
        <v/>
      </c>
      <c r="K13" s="18" t="str">
        <f aca="false">IF(H13="","",IF(H13&lt;=5,"pass","not yet"))</f>
        <v/>
      </c>
      <c r="L13" s="11"/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9" t="str">
        <f aca="false">IF(COUNT(B14:E14)&lt;4,"",B14/C14)</f>
        <v/>
      </c>
      <c r="G14" s="19" t="str">
        <f aca="false">IF(COUNT(B14:E14)&lt;4,"",AVERAGE(D14:E14)/C14)</f>
        <v/>
      </c>
      <c r="H14" s="15" t="str">
        <f aca="false">IF(COUNT(B14:E14)&lt;4,"",ABS(D14-E14)/MAX(D14:E14)*100)</f>
        <v/>
      </c>
      <c r="I14" s="18" t="str">
        <f aca="false">IF(F14="","",IF(F14&lt;1,"pass","not yet"))</f>
        <v/>
      </c>
      <c r="J14" s="18" t="str">
        <f aca="false">IF(G14="","",IF(ABS(G14-0.75)&lt;=0.1,"pass","not yet"))</f>
        <v/>
      </c>
      <c r="K14" s="18" t="str">
        <f aca="false">IF(H14="","",IF(H14&lt;=5,"pass","not yet"))</f>
        <v/>
      </c>
      <c r="L14" s="11"/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9" t="str">
        <f aca="false">IF(COUNT(B15:E15)&lt;4,"",B15/C15)</f>
        <v/>
      </c>
      <c r="G15" s="19" t="str">
        <f aca="false">IF(COUNT(B15:E15)&lt;4,"",AVERAGE(D15:E15)/C15)</f>
        <v/>
      </c>
      <c r="H15" s="15" t="str">
        <f aca="false">IF(COUNT(B15:E15)&lt;4,"",ABS(D15-E15)/MAX(D15:E15)*100)</f>
        <v/>
      </c>
      <c r="I15" s="18" t="str">
        <f aca="false">IF(F15="","",IF(F15&lt;1,"pass","not yet"))</f>
        <v/>
      </c>
      <c r="J15" s="18" t="str">
        <f aca="false">IF(G15="","",IF(ABS(G15-0.75)&lt;=0.1,"pass","not yet"))</f>
        <v/>
      </c>
      <c r="K15" s="18" t="str">
        <f aca="false">IF(H15="","",IF(H15&lt;=5,"pass","not yet"))</f>
        <v/>
      </c>
      <c r="L15" s="11"/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9" t="str">
        <f aca="false">IF(COUNT(B16:E16)&lt;4,"",B16/C16)</f>
        <v/>
      </c>
      <c r="G16" s="19" t="str">
        <f aca="false">IF(COUNT(B16:E16)&lt;4,"",AVERAGE(D16:E16)/C16)</f>
        <v/>
      </c>
      <c r="H16" s="15" t="str">
        <f aca="false">IF(COUNT(B16:E16)&lt;4,"",ABS(D16-E16)/MAX(D16:E16)*100)</f>
        <v/>
      </c>
      <c r="I16" s="18" t="str">
        <f aca="false">IF(F16="","",IF(F16&lt;1,"pass","not yet"))</f>
        <v/>
      </c>
      <c r="J16" s="18" t="str">
        <f aca="false">IF(G16="","",IF(ABS(G16-0.75)&lt;=0.1,"pass","not yet"))</f>
        <v/>
      </c>
      <c r="K16" s="18" t="str">
        <f aca="false">IF(H16="","",IF(H16&lt;=5,"pass","not yet"))</f>
        <v/>
      </c>
      <c r="L16" s="11"/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9" t="str">
        <f aca="false">IF(COUNT(B17:E17)&lt;4,"",B17/C17)</f>
        <v/>
      </c>
      <c r="G17" s="19" t="str">
        <f aca="false">IF(COUNT(B17:E17)&lt;4,"",AVERAGE(D17:E17)/C17)</f>
        <v/>
      </c>
      <c r="H17" s="15" t="str">
        <f aca="false">IF(COUNT(B17:E17)&lt;4,"",ABS(D17-E17)/MAX(D17:E17)*100)</f>
        <v/>
      </c>
      <c r="I17" s="18" t="str">
        <f aca="false">IF(F17="","",IF(F17&lt;1,"pass","not yet"))</f>
        <v/>
      </c>
      <c r="J17" s="18" t="str">
        <f aca="false">IF(G17="","",IF(ABS(G17-0.75)&lt;=0.1,"pass","not yet"))</f>
        <v/>
      </c>
      <c r="K17" s="18" t="str">
        <f aca="false">IF(H17="","",IF(H17&lt;=5,"pass","not yet"))</f>
        <v/>
      </c>
      <c r="L17" s="11"/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9" t="str">
        <f aca="false">IF(COUNT(B18:E18)&lt;4,"",B18/C18)</f>
        <v/>
      </c>
      <c r="G18" s="19" t="str">
        <f aca="false">IF(COUNT(B18:E18)&lt;4,"",AVERAGE(D18:E18)/C18)</f>
        <v/>
      </c>
      <c r="H18" s="15" t="str">
        <f aca="false">IF(COUNT(B18:E18)&lt;4,"",ABS(D18-E18)/MAX(D18:E18)*100)</f>
        <v/>
      </c>
      <c r="I18" s="18" t="str">
        <f aca="false">IF(F18="","",IF(F18&lt;1,"pass","not yet"))</f>
        <v/>
      </c>
      <c r="J18" s="18" t="str">
        <f aca="false">IF(G18="","",IF(ABS(G18-0.75)&lt;=0.1,"pass","not yet"))</f>
        <v/>
      </c>
      <c r="K18" s="18" t="str">
        <f aca="false">IF(H18="","",IF(H18&lt;=5,"pass","not yet"))</f>
        <v/>
      </c>
      <c r="L18" s="11"/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9" t="str">
        <f aca="false">IF(COUNT(B19:E19)&lt;4,"",B19/C19)</f>
        <v/>
      </c>
      <c r="G19" s="19" t="str">
        <f aca="false">IF(COUNT(B19:E19)&lt;4,"",AVERAGE(D19:E19)/C19)</f>
        <v/>
      </c>
      <c r="H19" s="15" t="str">
        <f aca="false">IF(COUNT(B19:E19)&lt;4,"",ABS(D19-E19)/MAX(D19:E19)*100)</f>
        <v/>
      </c>
      <c r="I19" s="18" t="str">
        <f aca="false">IF(F19="","",IF(F19&lt;1,"pass","not yet"))</f>
        <v/>
      </c>
      <c r="J19" s="18" t="str">
        <f aca="false">IF(G19="","",IF(ABS(G19-0.75)&lt;=0.1,"pass","not yet"))</f>
        <v/>
      </c>
      <c r="K19" s="18" t="str">
        <f aca="false">IF(H19="","",IF(H19&lt;=5,"pass","not yet"))</f>
        <v/>
      </c>
      <c r="L19" s="11"/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9" t="str">
        <f aca="false">IF(COUNT(B20:E20)&lt;4,"",B20/C20)</f>
        <v/>
      </c>
      <c r="G20" s="19" t="str">
        <f aca="false">IF(COUNT(B20:E20)&lt;4,"",AVERAGE(D20:E20)/C20)</f>
        <v/>
      </c>
      <c r="H20" s="15" t="str">
        <f aca="false">IF(COUNT(B20:E20)&lt;4,"",ABS(D20-E20)/MAX(D20:E20)*100)</f>
        <v/>
      </c>
      <c r="I20" s="18" t="str">
        <f aca="false">IF(F20="","",IF(F20&lt;1,"pass","not yet"))</f>
        <v/>
      </c>
      <c r="J20" s="18" t="str">
        <f aca="false">IF(G20="","",IF(ABS(G20-0.75)&lt;=0.1,"pass","not yet"))</f>
        <v/>
      </c>
      <c r="K20" s="18" t="str">
        <f aca="false">IF(H20="","",IF(H20&lt;=5,"pass","not yet"))</f>
        <v/>
      </c>
      <c r="L20" s="11"/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9" t="str">
        <f aca="false">IF(COUNT(B21:E21)&lt;4,"",B21/C21)</f>
        <v/>
      </c>
      <c r="G21" s="19" t="str">
        <f aca="false">IF(COUNT(B21:E21)&lt;4,"",AVERAGE(D21:E21)/C21)</f>
        <v/>
      </c>
      <c r="H21" s="15" t="str">
        <f aca="false">IF(COUNT(B21:E21)&lt;4,"",ABS(D21-E21)/MAX(D21:E21)*100)</f>
        <v/>
      </c>
      <c r="I21" s="18" t="str">
        <f aca="false">IF(F21="","",IF(F21&lt;1,"pass","not yet"))</f>
        <v/>
      </c>
      <c r="J21" s="18" t="str">
        <f aca="false">IF(G21="","",IF(ABS(G21-0.75)&lt;=0.1,"pass","not yet"))</f>
        <v/>
      </c>
      <c r="K21" s="18" t="str">
        <f aca="false">IF(H21="","",IF(H21&lt;=5,"pass","not yet"))</f>
        <v/>
      </c>
      <c r="L21" s="11"/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9" t="str">
        <f aca="false">IF(COUNT(B22:E22)&lt;4,"",B22/C22)</f>
        <v/>
      </c>
      <c r="G22" s="19" t="str">
        <f aca="false">IF(COUNT(B22:E22)&lt;4,"",AVERAGE(D22:E22)/C22)</f>
        <v/>
      </c>
      <c r="H22" s="15" t="str">
        <f aca="false">IF(COUNT(B22:E22)&lt;4,"",ABS(D22-E22)/MAX(D22:E22)*100)</f>
        <v/>
      </c>
      <c r="I22" s="18" t="str">
        <f aca="false">IF(F22="","",IF(F22&lt;1,"pass","not yet"))</f>
        <v/>
      </c>
      <c r="J22" s="18" t="str">
        <f aca="false">IF(G22="","",IF(ABS(G22-0.75)&lt;=0.1,"pass","not yet"))</f>
        <v/>
      </c>
      <c r="K22" s="18" t="str">
        <f aca="false">IF(H22="","",IF(H22&lt;=5,"pass","not yet"))</f>
        <v/>
      </c>
      <c r="L22" s="11"/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9" t="str">
        <f aca="false">IF(COUNT(B23:E23)&lt;4,"",B23/C23)</f>
        <v/>
      </c>
      <c r="G23" s="19" t="str">
        <f aca="false">IF(COUNT(B23:E23)&lt;4,"",AVERAGE(D23:E23)/C23)</f>
        <v/>
      </c>
      <c r="H23" s="15" t="str">
        <f aca="false">IF(COUNT(B23:E23)&lt;4,"",ABS(D23-E23)/MAX(D23:E23)*100)</f>
        <v/>
      </c>
      <c r="I23" s="18" t="str">
        <f aca="false">IF(F23="","",IF(F23&lt;1,"pass","not yet"))</f>
        <v/>
      </c>
      <c r="J23" s="18" t="str">
        <f aca="false">IF(G23="","",IF(ABS(G23-0.75)&lt;=0.1,"pass","not yet"))</f>
        <v/>
      </c>
      <c r="K23" s="18" t="str">
        <f aca="false">IF(H23="","",IF(H23&lt;=5,"pass","not yet"))</f>
        <v/>
      </c>
      <c r="L23" s="11"/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9" t="str">
        <f aca="false">IF(COUNT(B24:E24)&lt;4,"",B24/C24)</f>
        <v/>
      </c>
      <c r="G24" s="19" t="str">
        <f aca="false">IF(COUNT(B24:E24)&lt;4,"",AVERAGE(D24:E24)/C24)</f>
        <v/>
      </c>
      <c r="H24" s="15" t="str">
        <f aca="false">IF(COUNT(B24:E24)&lt;4,"",ABS(D24-E24)/MAX(D24:E24)*100)</f>
        <v/>
      </c>
      <c r="I24" s="18" t="str">
        <f aca="false">IF(F24="","",IF(F24&lt;1,"pass","not yet"))</f>
        <v/>
      </c>
      <c r="J24" s="18" t="str">
        <f aca="false">IF(G24="","",IF(ABS(G24-0.75)&lt;=0.1,"pass","not yet"))</f>
        <v/>
      </c>
      <c r="K24" s="18" t="str">
        <f aca="false">IF(H24="","",IF(H24&lt;=5,"pass","not yet"))</f>
        <v/>
      </c>
      <c r="L24" s="11"/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9" t="str">
        <f aca="false">IF(COUNT(B25:E25)&lt;4,"",B25/C25)</f>
        <v/>
      </c>
      <c r="G25" s="19" t="str">
        <f aca="false">IF(COUNT(B25:E25)&lt;4,"",AVERAGE(D25:E25)/C25)</f>
        <v/>
      </c>
      <c r="H25" s="15" t="str">
        <f aca="false">IF(COUNT(B25:E25)&lt;4,"",ABS(D25-E25)/MAX(D25:E25)*100)</f>
        <v/>
      </c>
      <c r="I25" s="18" t="str">
        <f aca="false">IF(F25="","",IF(F25&lt;1,"pass","not yet"))</f>
        <v/>
      </c>
      <c r="J25" s="18" t="str">
        <f aca="false">IF(G25="","",IF(ABS(G25-0.75)&lt;=0.1,"pass","not yet"))</f>
        <v/>
      </c>
      <c r="K25" s="18" t="str">
        <f aca="false">IF(H25="","",IF(H25&lt;=5,"pass","not yet"))</f>
        <v/>
      </c>
      <c r="L25" s="11"/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9" t="str">
        <f aca="false">IF(COUNT(B26:E26)&lt;4,"",B26/C26)</f>
        <v/>
      </c>
      <c r="G26" s="19" t="str">
        <f aca="false">IF(COUNT(B26:E26)&lt;4,"",AVERAGE(D26:E26)/C26)</f>
        <v/>
      </c>
      <c r="H26" s="15" t="str">
        <f aca="false">IF(COUNT(B26:E26)&lt;4,"",ABS(D26-E26)/MAX(D26:E26)*100)</f>
        <v/>
      </c>
      <c r="I26" s="18" t="str">
        <f aca="false">IF(F26="","",IF(F26&lt;1,"pass","not yet"))</f>
        <v/>
      </c>
      <c r="J26" s="18" t="str">
        <f aca="false">IF(G26="","",IF(ABS(G26-0.75)&lt;=0.1,"pass","not yet"))</f>
        <v/>
      </c>
      <c r="K26" s="18" t="str">
        <f aca="false">IF(H26="","",IF(H26&lt;=5,"pass","not yet"))</f>
        <v/>
      </c>
      <c r="L26" s="11"/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9" t="str">
        <f aca="false">IF(COUNT(B27:E27)&lt;4,"",B27/C27)</f>
        <v/>
      </c>
      <c r="G27" s="19" t="str">
        <f aca="false">IF(COUNT(B27:E27)&lt;4,"",AVERAGE(D27:E27)/C27)</f>
        <v/>
      </c>
      <c r="H27" s="15" t="str">
        <f aca="false">IF(COUNT(B27:E27)&lt;4,"",ABS(D27-E27)/MAX(D27:E27)*100)</f>
        <v/>
      </c>
      <c r="I27" s="18" t="str">
        <f aca="false">IF(F27="","",IF(F27&lt;1,"pass","not yet"))</f>
        <v/>
      </c>
      <c r="J27" s="18" t="str">
        <f aca="false">IF(G27="","",IF(ABS(G27-0.75)&lt;=0.1,"pass","not yet"))</f>
        <v/>
      </c>
      <c r="K27" s="18" t="str">
        <f aca="false">IF(H27="","",IF(H27&lt;=5,"pass","not yet"))</f>
        <v/>
      </c>
      <c r="L27" s="11"/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9" t="str">
        <f aca="false">IF(COUNT(B28:E28)&lt;4,"",B28/C28)</f>
        <v/>
      </c>
      <c r="G28" s="19" t="str">
        <f aca="false">IF(COUNT(B28:E28)&lt;4,"",AVERAGE(D28:E28)/C28)</f>
        <v/>
      </c>
      <c r="H28" s="15" t="str">
        <f aca="false">IF(COUNT(B28:E28)&lt;4,"",ABS(D28-E28)/MAX(D28:E28)*100)</f>
        <v/>
      </c>
      <c r="I28" s="18" t="str">
        <f aca="false">IF(F28="","",IF(F28&lt;1,"pass","not yet"))</f>
        <v/>
      </c>
      <c r="J28" s="18" t="str">
        <f aca="false">IF(G28="","",IF(ABS(G28-0.75)&lt;=0.1,"pass","not yet"))</f>
        <v/>
      </c>
      <c r="K28" s="18" t="str">
        <f aca="false">IF(H28="","",IF(H28&lt;=5,"pass","not yet"))</f>
        <v/>
      </c>
      <c r="L28" s="11"/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9" t="str">
        <f aca="false">IF(COUNT(B29:E29)&lt;4,"",B29/C29)</f>
        <v/>
      </c>
      <c r="G29" s="19" t="str">
        <f aca="false">IF(COUNT(B29:E29)&lt;4,"",AVERAGE(D29:E29)/C29)</f>
        <v/>
      </c>
      <c r="H29" s="15" t="str">
        <f aca="false">IF(COUNT(B29:E29)&lt;4,"",ABS(D29-E29)/MAX(D29:E29)*100)</f>
        <v/>
      </c>
      <c r="I29" s="18" t="str">
        <f aca="false">IF(F29="","",IF(F29&lt;1,"pass","not yet"))</f>
        <v/>
      </c>
      <c r="J29" s="18" t="str">
        <f aca="false">IF(G29="","",IF(ABS(G29-0.75)&lt;=0.1,"pass","not yet"))</f>
        <v/>
      </c>
      <c r="K29" s="18" t="str">
        <f aca="false">IF(H29="","",IF(H29&lt;=5,"pass","not yet"))</f>
        <v/>
      </c>
      <c r="L29" s="11"/>
    </row>
    <row r="30" customFormat="false" ht="15" hidden="false" customHeight="false" outlineLevel="0" collapsed="false">
      <c r="A30" s="10"/>
      <c r="B30" s="11"/>
      <c r="C30" s="11"/>
      <c r="D30" s="11"/>
      <c r="E30" s="11"/>
      <c r="F30" s="19" t="str">
        <f aca="false">IF(COUNT(B30:E30)&lt;4,"",B30/C30)</f>
        <v/>
      </c>
      <c r="G30" s="19" t="str">
        <f aca="false">IF(COUNT(B30:E30)&lt;4,"",AVERAGE(D30:E30)/C30)</f>
        <v/>
      </c>
      <c r="H30" s="15" t="str">
        <f aca="false">IF(COUNT(B30:E30)&lt;4,"",ABS(D30-E30)/MAX(D30:E30)*100)</f>
        <v/>
      </c>
      <c r="I30" s="18" t="str">
        <f aca="false">IF(F30="","",IF(F30&lt;1,"pass","not yet"))</f>
        <v/>
      </c>
      <c r="J30" s="18" t="str">
        <f aca="false">IF(G30="","",IF(ABS(G30-0.75)&lt;=0.1,"pass","not yet"))</f>
        <v/>
      </c>
      <c r="K30" s="18" t="str">
        <f aca="false">IF(H30="","",IF(H30&lt;=5,"pass","not yet"))</f>
        <v/>
      </c>
      <c r="L30" s="11"/>
    </row>
    <row r="31" customFormat="false" ht="15" hidden="false" customHeight="false" outlineLevel="0" collapsed="false">
      <c r="A31" s="10"/>
      <c r="B31" s="11"/>
      <c r="C31" s="11"/>
      <c r="D31" s="11"/>
      <c r="E31" s="11"/>
      <c r="F31" s="19" t="str">
        <f aca="false">IF(COUNT(B31:E31)&lt;4,"",B31/C31)</f>
        <v/>
      </c>
      <c r="G31" s="19" t="str">
        <f aca="false">IF(COUNT(B31:E31)&lt;4,"",AVERAGE(D31:E31)/C31)</f>
        <v/>
      </c>
      <c r="H31" s="15" t="str">
        <f aca="false">IF(COUNT(B31:E31)&lt;4,"",ABS(D31-E31)/MAX(D31:E31)*100)</f>
        <v/>
      </c>
      <c r="I31" s="18" t="str">
        <f aca="false">IF(F31="","",IF(F31&lt;1,"pass","not yet"))</f>
        <v/>
      </c>
      <c r="J31" s="18" t="str">
        <f aca="false">IF(G31="","",IF(ABS(G31-0.75)&lt;=0.1,"pass","not yet"))</f>
        <v/>
      </c>
      <c r="K31" s="18" t="str">
        <f aca="false">IF(H31="","",IF(H31&lt;=5,"pass","not yet"))</f>
        <v/>
      </c>
      <c r="L31" s="11"/>
    </row>
    <row r="32" customFormat="false" ht="15" hidden="false" customHeight="false" outlineLevel="0" collapsed="false">
      <c r="A32" s="10"/>
      <c r="B32" s="11"/>
      <c r="C32" s="11"/>
      <c r="D32" s="11"/>
      <c r="E32" s="11"/>
      <c r="F32" s="19" t="str">
        <f aca="false">IF(COUNT(B32:E32)&lt;4,"",B32/C32)</f>
        <v/>
      </c>
      <c r="G32" s="19" t="str">
        <f aca="false">IF(COUNT(B32:E32)&lt;4,"",AVERAGE(D32:E32)/C32)</f>
        <v/>
      </c>
      <c r="H32" s="15" t="str">
        <f aca="false">IF(COUNT(B32:E32)&lt;4,"",ABS(D32-E32)/MAX(D32:E32)*100)</f>
        <v/>
      </c>
      <c r="I32" s="18" t="str">
        <f aca="false">IF(F32="","",IF(F32&lt;1,"pass","not yet"))</f>
        <v/>
      </c>
      <c r="J32" s="18" t="str">
        <f aca="false">IF(G32="","",IF(ABS(G32-0.75)&lt;=0.1,"pass","not yet"))</f>
        <v/>
      </c>
      <c r="K32" s="18" t="str">
        <f aca="false">IF(H32="","",IF(H32&lt;=5,"pass","not yet"))</f>
        <v/>
      </c>
      <c r="L32" s="11"/>
    </row>
    <row r="33" customFormat="false" ht="15" hidden="false" customHeight="false" outlineLevel="0" collapsed="false">
      <c r="A33" s="10"/>
      <c r="B33" s="11"/>
      <c r="C33" s="11"/>
      <c r="D33" s="11"/>
      <c r="E33" s="11"/>
      <c r="F33" s="19" t="str">
        <f aca="false">IF(COUNT(B33:E33)&lt;4,"",B33/C33)</f>
        <v/>
      </c>
      <c r="G33" s="19" t="str">
        <f aca="false">IF(COUNT(B33:E33)&lt;4,"",AVERAGE(D33:E33)/C33)</f>
        <v/>
      </c>
      <c r="H33" s="15" t="str">
        <f aca="false">IF(COUNT(B33:E33)&lt;4,"",ABS(D33-E33)/MAX(D33:E33)*100)</f>
        <v/>
      </c>
      <c r="I33" s="18" t="str">
        <f aca="false">IF(F33="","",IF(F33&lt;1,"pass","not yet"))</f>
        <v/>
      </c>
      <c r="J33" s="18" t="str">
        <f aca="false">IF(G33="","",IF(ABS(G33-0.75)&lt;=0.1,"pass","not yet"))</f>
        <v/>
      </c>
      <c r="K33" s="18" t="str">
        <f aca="false">IF(H33="","",IF(H33&lt;=5,"pass","not yet"))</f>
        <v/>
      </c>
      <c r="L33" s="11"/>
    </row>
    <row r="34" customFormat="false" ht="15" hidden="false" customHeight="false" outlineLevel="0" collapsed="false">
      <c r="A34" s="10"/>
      <c r="B34" s="11"/>
      <c r="C34" s="11"/>
      <c r="D34" s="11"/>
      <c r="E34" s="11"/>
      <c r="F34" s="19" t="str">
        <f aca="false">IF(COUNT(B34:E34)&lt;4,"",B34/C34)</f>
        <v/>
      </c>
      <c r="G34" s="19" t="str">
        <f aca="false">IF(COUNT(B34:E34)&lt;4,"",AVERAGE(D34:E34)/C34)</f>
        <v/>
      </c>
      <c r="H34" s="15" t="str">
        <f aca="false">IF(COUNT(B34:E34)&lt;4,"",ABS(D34-E34)/MAX(D34:E34)*100)</f>
        <v/>
      </c>
      <c r="I34" s="18" t="str">
        <f aca="false">IF(F34="","",IF(F34&lt;1,"pass","not yet"))</f>
        <v/>
      </c>
      <c r="J34" s="18" t="str">
        <f aca="false">IF(G34="","",IF(ABS(G34-0.75)&lt;=0.1,"pass","not yet"))</f>
        <v/>
      </c>
      <c r="K34" s="18" t="str">
        <f aca="false">IF(H34="","",IF(H34&lt;=5,"pass","not yet"))</f>
        <v/>
      </c>
      <c r="L34" s="11"/>
    </row>
    <row r="35" customFormat="false" ht="15" hidden="false" customHeight="false" outlineLevel="0" collapsed="false">
      <c r="A35" s="10"/>
      <c r="B35" s="11"/>
      <c r="C35" s="11"/>
      <c r="D35" s="11"/>
      <c r="E35" s="11"/>
      <c r="F35" s="19" t="str">
        <f aca="false">IF(COUNT(B35:E35)&lt;4,"",B35/C35)</f>
        <v/>
      </c>
      <c r="G35" s="19" t="str">
        <f aca="false">IF(COUNT(B35:E35)&lt;4,"",AVERAGE(D35:E35)/C35)</f>
        <v/>
      </c>
      <c r="H35" s="15" t="str">
        <f aca="false">IF(COUNT(B35:E35)&lt;4,"",ABS(D35-E35)/MAX(D35:E35)*100)</f>
        <v/>
      </c>
      <c r="I35" s="18" t="str">
        <f aca="false">IF(F35="","",IF(F35&lt;1,"pass","not yet"))</f>
        <v/>
      </c>
      <c r="J35" s="18" t="str">
        <f aca="false">IF(G35="","",IF(ABS(G35-0.75)&lt;=0.1,"pass","not yet"))</f>
        <v/>
      </c>
      <c r="K35" s="18" t="str">
        <f aca="false">IF(H35="","",IF(H35&lt;=5,"pass","not yet"))</f>
        <v/>
      </c>
      <c r="L35" s="11"/>
    </row>
    <row r="36" customFormat="false" ht="15" hidden="false" customHeight="false" outlineLevel="0" collapsed="false">
      <c r="A36" s="10"/>
      <c r="B36" s="11"/>
      <c r="C36" s="11"/>
      <c r="D36" s="11"/>
      <c r="E36" s="11"/>
      <c r="F36" s="19" t="str">
        <f aca="false">IF(COUNT(B36:E36)&lt;4,"",B36/C36)</f>
        <v/>
      </c>
      <c r="G36" s="19" t="str">
        <f aca="false">IF(COUNT(B36:E36)&lt;4,"",AVERAGE(D36:E36)/C36)</f>
        <v/>
      </c>
      <c r="H36" s="15" t="str">
        <f aca="false">IF(COUNT(B36:E36)&lt;4,"",ABS(D36-E36)/MAX(D36:E36)*100)</f>
        <v/>
      </c>
      <c r="I36" s="18" t="str">
        <f aca="false">IF(F36="","",IF(F36&lt;1,"pass","not yet"))</f>
        <v/>
      </c>
      <c r="J36" s="18" t="str">
        <f aca="false">IF(G36="","",IF(ABS(G36-0.75)&lt;=0.1,"pass","not yet"))</f>
        <v/>
      </c>
      <c r="K36" s="18" t="str">
        <f aca="false">IF(H36="","",IF(H36&lt;=5,"pass","not yet"))</f>
        <v/>
      </c>
      <c r="L36" s="11"/>
    </row>
    <row r="37" customFormat="false" ht="15" hidden="false" customHeight="false" outlineLevel="0" collapsed="false">
      <c r="A37" s="10"/>
      <c r="B37" s="11"/>
      <c r="C37" s="11"/>
      <c r="D37" s="11"/>
      <c r="E37" s="11"/>
      <c r="F37" s="19" t="str">
        <f aca="false">IF(COUNT(B37:E37)&lt;4,"",B37/C37)</f>
        <v/>
      </c>
      <c r="G37" s="19" t="str">
        <f aca="false">IF(COUNT(B37:E37)&lt;4,"",AVERAGE(D37:E37)/C37)</f>
        <v/>
      </c>
      <c r="H37" s="15" t="str">
        <f aca="false">IF(COUNT(B37:E37)&lt;4,"",ABS(D37-E37)/MAX(D37:E37)*100)</f>
        <v/>
      </c>
      <c r="I37" s="18" t="str">
        <f aca="false">IF(F37="","",IF(F37&lt;1,"pass","not yet"))</f>
        <v/>
      </c>
      <c r="J37" s="18" t="str">
        <f aca="false">IF(G37="","",IF(ABS(G37-0.75)&lt;=0.1,"pass","not yet"))</f>
        <v/>
      </c>
      <c r="K37" s="18" t="str">
        <f aca="false">IF(H37="","",IF(H37&lt;=5,"pass","not yet"))</f>
        <v/>
      </c>
      <c r="L37" s="11"/>
    </row>
    <row r="38" customFormat="false" ht="15" hidden="false" customHeight="false" outlineLevel="0" collapsed="false">
      <c r="A38" s="10"/>
      <c r="B38" s="11"/>
      <c r="C38" s="11"/>
      <c r="D38" s="11"/>
      <c r="E38" s="11"/>
      <c r="F38" s="19" t="str">
        <f aca="false">IF(COUNT(B38:E38)&lt;4,"",B38/C38)</f>
        <v/>
      </c>
      <c r="G38" s="19" t="str">
        <f aca="false">IF(COUNT(B38:E38)&lt;4,"",AVERAGE(D38:E38)/C38)</f>
        <v/>
      </c>
      <c r="H38" s="15" t="str">
        <f aca="false">IF(COUNT(B38:E38)&lt;4,"",ABS(D38-E38)/MAX(D38:E38)*100)</f>
        <v/>
      </c>
      <c r="I38" s="18" t="str">
        <f aca="false">IF(F38="","",IF(F38&lt;1,"pass","not yet"))</f>
        <v/>
      </c>
      <c r="J38" s="18" t="str">
        <f aca="false">IF(G38="","",IF(ABS(G38-0.75)&lt;=0.1,"pass","not yet"))</f>
        <v/>
      </c>
      <c r="K38" s="18" t="str">
        <f aca="false">IF(H38="","",IF(H38&lt;=5,"pass","not yet"))</f>
        <v/>
      </c>
      <c r="L38" s="11"/>
    </row>
    <row r="39" customFormat="false" ht="15" hidden="false" customHeight="false" outlineLevel="0" collapsed="false">
      <c r="A39" s="10"/>
      <c r="B39" s="11"/>
      <c r="C39" s="11"/>
      <c r="D39" s="11"/>
      <c r="E39" s="11"/>
      <c r="F39" s="19" t="str">
        <f aca="false">IF(COUNT(B39:E39)&lt;4,"",B39/C39)</f>
        <v/>
      </c>
      <c r="G39" s="19" t="str">
        <f aca="false">IF(COUNT(B39:E39)&lt;4,"",AVERAGE(D39:E39)/C39)</f>
        <v/>
      </c>
      <c r="H39" s="15" t="str">
        <f aca="false">IF(COUNT(B39:E39)&lt;4,"",ABS(D39-E39)/MAX(D39:E39)*100)</f>
        <v/>
      </c>
      <c r="I39" s="18" t="str">
        <f aca="false">IF(F39="","",IF(F39&lt;1,"pass","not yet"))</f>
        <v/>
      </c>
      <c r="J39" s="18" t="str">
        <f aca="false">IF(G39="","",IF(ABS(G39-0.75)&lt;=0.1,"pass","not yet"))</f>
        <v/>
      </c>
      <c r="K39" s="18" t="str">
        <f aca="false">IF(H39="","",IF(H39&lt;=5,"pass","not yet"))</f>
        <v/>
      </c>
      <c r="L39" s="11"/>
    </row>
    <row r="40" customFormat="false" ht="15" hidden="false" customHeight="false" outlineLevel="0" collapsed="false">
      <c r="A40" s="10"/>
      <c r="B40" s="11"/>
      <c r="C40" s="11"/>
      <c r="D40" s="11"/>
      <c r="E40" s="11"/>
      <c r="F40" s="19" t="str">
        <f aca="false">IF(COUNT(B40:E40)&lt;4,"",B40/C40)</f>
        <v/>
      </c>
      <c r="G40" s="19" t="str">
        <f aca="false">IF(COUNT(B40:E40)&lt;4,"",AVERAGE(D40:E40)/C40)</f>
        <v/>
      </c>
      <c r="H40" s="15" t="str">
        <f aca="false">IF(COUNT(B40:E40)&lt;4,"",ABS(D40-E40)/MAX(D40:E40)*100)</f>
        <v/>
      </c>
      <c r="I40" s="18" t="str">
        <f aca="false">IF(F40="","",IF(F40&lt;1,"pass","not yet"))</f>
        <v/>
      </c>
      <c r="J40" s="18" t="str">
        <f aca="false">IF(G40="","",IF(ABS(G40-0.75)&lt;=0.1,"pass","not yet"))</f>
        <v/>
      </c>
      <c r="K40" s="18" t="str">
        <f aca="false">IF(H40="","",IF(H40&lt;=5,"pass","not yet"))</f>
        <v/>
      </c>
      <c r="L40" s="11"/>
    </row>
    <row r="41" customFormat="false" ht="15" hidden="false" customHeight="false" outlineLevel="0" collapsed="false">
      <c r="A41" s="10"/>
      <c r="B41" s="11"/>
      <c r="C41" s="11"/>
      <c r="D41" s="11"/>
      <c r="E41" s="11"/>
      <c r="F41" s="19" t="str">
        <f aca="false">IF(COUNT(B41:E41)&lt;4,"",B41/C41)</f>
        <v/>
      </c>
      <c r="G41" s="19" t="str">
        <f aca="false">IF(COUNT(B41:E41)&lt;4,"",AVERAGE(D41:E41)/C41)</f>
        <v/>
      </c>
      <c r="H41" s="15" t="str">
        <f aca="false">IF(COUNT(B41:E41)&lt;4,"",ABS(D41-E41)/MAX(D41:E41)*100)</f>
        <v/>
      </c>
      <c r="I41" s="18" t="str">
        <f aca="false">IF(F41="","",IF(F41&lt;1,"pass","not yet"))</f>
        <v/>
      </c>
      <c r="J41" s="18" t="str">
        <f aca="false">IF(G41="","",IF(ABS(G41-0.75)&lt;=0.1,"pass","not yet"))</f>
        <v/>
      </c>
      <c r="K41" s="18" t="str">
        <f aca="false">IF(H41="","",IF(H41&lt;=5,"pass","not yet"))</f>
        <v/>
      </c>
      <c r="L41" s="11"/>
    </row>
    <row r="42" customFormat="false" ht="15" hidden="false" customHeight="false" outlineLevel="0" collapsed="false">
      <c r="A42" s="10"/>
      <c r="B42" s="11"/>
      <c r="C42" s="11"/>
      <c r="D42" s="11"/>
      <c r="E42" s="11"/>
      <c r="F42" s="19" t="str">
        <f aca="false">IF(COUNT(B42:E42)&lt;4,"",B42/C42)</f>
        <v/>
      </c>
      <c r="G42" s="19" t="str">
        <f aca="false">IF(COUNT(B42:E42)&lt;4,"",AVERAGE(D42:E42)/C42)</f>
        <v/>
      </c>
      <c r="H42" s="15" t="str">
        <f aca="false">IF(COUNT(B42:E42)&lt;4,"",ABS(D42-E42)/MAX(D42:E42)*100)</f>
        <v/>
      </c>
      <c r="I42" s="18" t="str">
        <f aca="false">IF(F42="","",IF(F42&lt;1,"pass","not yet"))</f>
        <v/>
      </c>
      <c r="J42" s="18" t="str">
        <f aca="false">IF(G42="","",IF(ABS(G42-0.75)&lt;=0.1,"pass","not yet"))</f>
        <v/>
      </c>
      <c r="K42" s="18" t="str">
        <f aca="false">IF(H42="","",IF(H42&lt;=5,"pass","not yet"))</f>
        <v/>
      </c>
      <c r="L42" s="11"/>
    </row>
    <row r="43" customFormat="false" ht="15" hidden="false" customHeight="false" outlineLevel="0" collapsed="false">
      <c r="A43" s="10"/>
      <c r="B43" s="11"/>
      <c r="C43" s="11"/>
      <c r="D43" s="11"/>
      <c r="E43" s="11"/>
      <c r="F43" s="19" t="str">
        <f aca="false">IF(COUNT(B43:E43)&lt;4,"",B43/C43)</f>
        <v/>
      </c>
      <c r="G43" s="19" t="str">
        <f aca="false">IF(COUNT(B43:E43)&lt;4,"",AVERAGE(D43:E43)/C43)</f>
        <v/>
      </c>
      <c r="H43" s="15" t="str">
        <f aca="false">IF(COUNT(B43:E43)&lt;4,"",ABS(D43-E43)/MAX(D43:E43)*100)</f>
        <v/>
      </c>
      <c r="I43" s="18" t="str">
        <f aca="false">IF(F43="","",IF(F43&lt;1,"pass","not yet"))</f>
        <v/>
      </c>
      <c r="J43" s="18" t="str">
        <f aca="false">IF(G43="","",IF(ABS(G43-0.75)&lt;=0.1,"pass","not yet"))</f>
        <v/>
      </c>
      <c r="K43" s="18" t="str">
        <f aca="false">IF(H43="","",IF(H43&lt;=5,"pass","not yet"))</f>
        <v/>
      </c>
      <c r="L43" s="11"/>
    </row>
    <row r="44" customFormat="false" ht="15" hidden="false" customHeight="false" outlineLevel="0" collapsed="false">
      <c r="A44" s="10"/>
      <c r="B44" s="11"/>
      <c r="C44" s="11"/>
      <c r="D44" s="11"/>
      <c r="E44" s="11"/>
      <c r="F44" s="19" t="str">
        <f aca="false">IF(COUNT(B44:E44)&lt;4,"",B44/C44)</f>
        <v/>
      </c>
      <c r="G44" s="19" t="str">
        <f aca="false">IF(COUNT(B44:E44)&lt;4,"",AVERAGE(D44:E44)/C44)</f>
        <v/>
      </c>
      <c r="H44" s="15" t="str">
        <f aca="false">IF(COUNT(B44:E44)&lt;4,"",ABS(D44-E44)/MAX(D44:E44)*100)</f>
        <v/>
      </c>
      <c r="I44" s="18" t="str">
        <f aca="false">IF(F44="","",IF(F44&lt;1,"pass","not yet"))</f>
        <v/>
      </c>
      <c r="J44" s="18" t="str">
        <f aca="false">IF(G44="","",IF(ABS(G44-0.75)&lt;=0.1,"pass","not yet"))</f>
        <v/>
      </c>
      <c r="K44" s="18" t="str">
        <f aca="false">IF(H44="","",IF(H44&lt;=5,"pass","not yet"))</f>
        <v/>
      </c>
      <c r="L44" s="11"/>
    </row>
    <row r="45" customFormat="false" ht="15" hidden="false" customHeight="false" outlineLevel="0" collapsed="false">
      <c r="A45" s="10"/>
      <c r="B45" s="11"/>
      <c r="C45" s="11"/>
      <c r="D45" s="11"/>
      <c r="E45" s="11"/>
      <c r="F45" s="19" t="str">
        <f aca="false">IF(COUNT(B45:E45)&lt;4,"",B45/C45)</f>
        <v/>
      </c>
      <c r="G45" s="19" t="str">
        <f aca="false">IF(COUNT(B45:E45)&lt;4,"",AVERAGE(D45:E45)/C45)</f>
        <v/>
      </c>
      <c r="H45" s="15" t="str">
        <f aca="false">IF(COUNT(B45:E45)&lt;4,"",ABS(D45-E45)/MAX(D45:E45)*100)</f>
        <v/>
      </c>
      <c r="I45" s="18" t="str">
        <f aca="false">IF(F45="","",IF(F45&lt;1,"pass","not yet"))</f>
        <v/>
      </c>
      <c r="J45" s="18" t="str">
        <f aca="false">IF(G45="","",IF(ABS(G45-0.75)&lt;=0.1,"pass","not yet"))</f>
        <v/>
      </c>
      <c r="K45" s="18" t="str">
        <f aca="false">IF(H45="","",IF(H45&lt;=5,"pass","not yet"))</f>
        <v/>
      </c>
      <c r="L45" s="11"/>
    </row>
    <row r="46" customFormat="false" ht="15" hidden="false" customHeight="false" outlineLevel="0" collapsed="false">
      <c r="A46" s="10"/>
      <c r="B46" s="11"/>
      <c r="C46" s="11"/>
      <c r="D46" s="11"/>
      <c r="E46" s="11"/>
      <c r="F46" s="19" t="str">
        <f aca="false">IF(COUNT(B46:E46)&lt;4,"",B46/C46)</f>
        <v/>
      </c>
      <c r="G46" s="19" t="str">
        <f aca="false">IF(COUNT(B46:E46)&lt;4,"",AVERAGE(D46:E46)/C46)</f>
        <v/>
      </c>
      <c r="H46" s="15" t="str">
        <f aca="false">IF(COUNT(B46:E46)&lt;4,"",ABS(D46-E46)/MAX(D46:E46)*100)</f>
        <v/>
      </c>
      <c r="I46" s="18" t="str">
        <f aca="false">IF(F46="","",IF(F46&lt;1,"pass","not yet"))</f>
        <v/>
      </c>
      <c r="J46" s="18" t="str">
        <f aca="false">IF(G46="","",IF(ABS(G46-0.75)&lt;=0.1,"pass","not yet"))</f>
        <v/>
      </c>
      <c r="K46" s="18" t="str">
        <f aca="false">IF(H46="","",IF(H46&lt;=5,"pass","not yet"))</f>
        <v/>
      </c>
      <c r="L46" s="11"/>
    </row>
    <row r="47" customFormat="false" ht="15" hidden="false" customHeight="false" outlineLevel="0" collapsed="false">
      <c r="A47" s="10"/>
      <c r="B47" s="11"/>
      <c r="C47" s="11"/>
      <c r="D47" s="11"/>
      <c r="E47" s="11"/>
      <c r="F47" s="19" t="str">
        <f aca="false">IF(COUNT(B47:E47)&lt;4,"",B47/C47)</f>
        <v/>
      </c>
      <c r="G47" s="19" t="str">
        <f aca="false">IF(COUNT(B47:E47)&lt;4,"",AVERAGE(D47:E47)/C47)</f>
        <v/>
      </c>
      <c r="H47" s="15" t="str">
        <f aca="false">IF(COUNT(B47:E47)&lt;4,"",ABS(D47-E47)/MAX(D47:E47)*100)</f>
        <v/>
      </c>
      <c r="I47" s="18" t="str">
        <f aca="false">IF(F47="","",IF(F47&lt;1,"pass","not yet"))</f>
        <v/>
      </c>
      <c r="J47" s="18" t="str">
        <f aca="false">IF(G47="","",IF(ABS(G47-0.75)&lt;=0.1,"pass","not yet"))</f>
        <v/>
      </c>
      <c r="K47" s="18" t="str">
        <f aca="false">IF(H47="","",IF(H47&lt;=5,"pass","not yet"))</f>
        <v/>
      </c>
      <c r="L47" s="11"/>
    </row>
    <row r="48" customFormat="false" ht="15" hidden="false" customHeight="false" outlineLevel="0" collapsed="false">
      <c r="A48" s="10"/>
      <c r="B48" s="11"/>
      <c r="C48" s="11"/>
      <c r="D48" s="11"/>
      <c r="E48" s="11"/>
      <c r="F48" s="19" t="str">
        <f aca="false">IF(COUNT(B48:E48)&lt;4,"",B48/C48)</f>
        <v/>
      </c>
      <c r="G48" s="19" t="str">
        <f aca="false">IF(COUNT(B48:E48)&lt;4,"",AVERAGE(D48:E48)/C48)</f>
        <v/>
      </c>
      <c r="H48" s="15" t="str">
        <f aca="false">IF(COUNT(B48:E48)&lt;4,"",ABS(D48-E48)/MAX(D48:E48)*100)</f>
        <v/>
      </c>
      <c r="I48" s="18" t="str">
        <f aca="false">IF(F48="","",IF(F48&lt;1,"pass","not yet"))</f>
        <v/>
      </c>
      <c r="J48" s="18" t="str">
        <f aca="false">IF(G48="","",IF(ABS(G48-0.75)&lt;=0.1,"pass","not yet"))</f>
        <v/>
      </c>
      <c r="K48" s="18" t="str">
        <f aca="false">IF(H48="","",IF(H48&lt;=5,"pass","not yet"))</f>
        <v/>
      </c>
      <c r="L48" s="11"/>
    </row>
    <row r="49" customFormat="false" ht="15" hidden="false" customHeight="false" outlineLevel="0" collapsed="false">
      <c r="A49" s="10"/>
      <c r="B49" s="11"/>
      <c r="C49" s="11"/>
      <c r="D49" s="11"/>
      <c r="E49" s="11"/>
      <c r="F49" s="19" t="str">
        <f aca="false">IF(COUNT(B49:E49)&lt;4,"",B49/C49)</f>
        <v/>
      </c>
      <c r="G49" s="19" t="str">
        <f aca="false">IF(COUNT(B49:E49)&lt;4,"",AVERAGE(D49:E49)/C49)</f>
        <v/>
      </c>
      <c r="H49" s="15" t="str">
        <f aca="false">IF(COUNT(B49:E49)&lt;4,"",ABS(D49-E49)/MAX(D49:E49)*100)</f>
        <v/>
      </c>
      <c r="I49" s="18" t="str">
        <f aca="false">IF(F49="","",IF(F49&lt;1,"pass","not yet"))</f>
        <v/>
      </c>
      <c r="J49" s="18" t="str">
        <f aca="false">IF(G49="","",IF(ABS(G49-0.75)&lt;=0.1,"pass","not yet"))</f>
        <v/>
      </c>
      <c r="K49" s="18" t="str">
        <f aca="false">IF(H49="","",IF(H49&lt;=5,"pass","not yet"))</f>
        <v/>
      </c>
      <c r="L49" s="11"/>
    </row>
    <row r="50" customFormat="false" ht="15" hidden="false" customHeight="false" outlineLevel="0" collapsed="false">
      <c r="A50" s="10"/>
      <c r="B50" s="11"/>
      <c r="C50" s="11"/>
      <c r="D50" s="11"/>
      <c r="E50" s="11"/>
      <c r="F50" s="19" t="str">
        <f aca="false">IF(COUNT(B50:E50)&lt;4,"",B50/C50)</f>
        <v/>
      </c>
      <c r="G50" s="19" t="str">
        <f aca="false">IF(COUNT(B50:E50)&lt;4,"",AVERAGE(D50:E50)/C50)</f>
        <v/>
      </c>
      <c r="H50" s="15" t="str">
        <f aca="false">IF(COUNT(B50:E50)&lt;4,"",ABS(D50-E50)/MAX(D50:E50)*100)</f>
        <v/>
      </c>
      <c r="I50" s="18" t="str">
        <f aca="false">IF(F50="","",IF(F50&lt;1,"pass","not yet"))</f>
        <v/>
      </c>
      <c r="J50" s="18" t="str">
        <f aca="false">IF(G50="","",IF(ABS(G50-0.75)&lt;=0.1,"pass","not yet"))</f>
        <v/>
      </c>
      <c r="K50" s="18" t="str">
        <f aca="false">IF(H50="","",IF(H50&lt;=5,"pass","not yet"))</f>
        <v/>
      </c>
      <c r="L50" s="11"/>
    </row>
    <row r="51" customFormat="false" ht="15" hidden="false" customHeight="false" outlineLevel="0" collapsed="false">
      <c r="A51" s="10"/>
      <c r="B51" s="11"/>
      <c r="C51" s="11"/>
      <c r="D51" s="11"/>
      <c r="E51" s="11"/>
      <c r="F51" s="19" t="str">
        <f aca="false">IF(COUNT(B51:E51)&lt;4,"",B51/C51)</f>
        <v/>
      </c>
      <c r="G51" s="19" t="str">
        <f aca="false">IF(COUNT(B51:E51)&lt;4,"",AVERAGE(D51:E51)/C51)</f>
        <v/>
      </c>
      <c r="H51" s="15" t="str">
        <f aca="false">IF(COUNT(B51:E51)&lt;4,"",ABS(D51-E51)/MAX(D51:E51)*100)</f>
        <v/>
      </c>
      <c r="I51" s="18" t="str">
        <f aca="false">IF(F51="","",IF(F51&lt;1,"pass","not yet"))</f>
        <v/>
      </c>
      <c r="J51" s="18" t="str">
        <f aca="false">IF(G51="","",IF(ABS(G51-0.75)&lt;=0.1,"pass","not yet"))</f>
        <v/>
      </c>
      <c r="K51" s="18" t="str">
        <f aca="false">IF(H51="","",IF(H51&lt;=5,"pass","not yet"))</f>
        <v/>
      </c>
      <c r="L51" s="11"/>
    </row>
    <row r="52" customFormat="false" ht="15" hidden="false" customHeight="false" outlineLevel="0" collapsed="false">
      <c r="A52" s="10"/>
      <c r="B52" s="11"/>
      <c r="C52" s="11"/>
      <c r="D52" s="11"/>
      <c r="E52" s="11"/>
      <c r="F52" s="19" t="str">
        <f aca="false">IF(COUNT(B52:E52)&lt;4,"",B52/C52)</f>
        <v/>
      </c>
      <c r="G52" s="19" t="str">
        <f aca="false">IF(COUNT(B52:E52)&lt;4,"",AVERAGE(D52:E52)/C52)</f>
        <v/>
      </c>
      <c r="H52" s="15" t="str">
        <f aca="false">IF(COUNT(B52:E52)&lt;4,"",ABS(D52-E52)/MAX(D52:E52)*100)</f>
        <v/>
      </c>
      <c r="I52" s="18" t="str">
        <f aca="false">IF(F52="","",IF(F52&lt;1,"pass","not yet"))</f>
        <v/>
      </c>
      <c r="J52" s="18" t="str">
        <f aca="false">IF(G52="","",IF(ABS(G52-0.75)&lt;=0.1,"pass","not yet"))</f>
        <v/>
      </c>
      <c r="K52" s="18" t="str">
        <f aca="false">IF(H52="","",IF(H52&lt;=5,"pass","not yet"))</f>
        <v/>
      </c>
      <c r="L52" s="11"/>
    </row>
    <row r="53" customFormat="false" ht="15" hidden="false" customHeight="false" outlineLevel="0" collapsed="false">
      <c r="A53" s="10"/>
      <c r="B53" s="11"/>
      <c r="C53" s="11"/>
      <c r="D53" s="11"/>
      <c r="E53" s="11"/>
      <c r="F53" s="19" t="str">
        <f aca="false">IF(COUNT(B53:E53)&lt;4,"",B53/C53)</f>
        <v/>
      </c>
      <c r="G53" s="19" t="str">
        <f aca="false">IF(COUNT(B53:E53)&lt;4,"",AVERAGE(D53:E53)/C53)</f>
        <v/>
      </c>
      <c r="H53" s="15" t="str">
        <f aca="false">IF(COUNT(B53:E53)&lt;4,"",ABS(D53-E53)/MAX(D53:E53)*100)</f>
        <v/>
      </c>
      <c r="I53" s="18" t="str">
        <f aca="false">IF(F53="","",IF(F53&lt;1,"pass","not yet"))</f>
        <v/>
      </c>
      <c r="J53" s="18" t="str">
        <f aca="false">IF(G53="","",IF(ABS(G53-0.75)&lt;=0.1,"pass","not yet"))</f>
        <v/>
      </c>
      <c r="K53" s="18" t="str">
        <f aca="false">IF(H53="","",IF(H53&lt;=5,"pass","not yet"))</f>
        <v/>
      </c>
      <c r="L53" s="11"/>
    </row>
    <row r="54" customFormat="false" ht="15" hidden="false" customHeight="false" outlineLevel="0" collapsed="false">
      <c r="A54" s="10"/>
      <c r="B54" s="11"/>
      <c r="C54" s="11"/>
      <c r="D54" s="11"/>
      <c r="E54" s="11"/>
      <c r="F54" s="19" t="str">
        <f aca="false">IF(COUNT(B54:E54)&lt;4,"",B54/C54)</f>
        <v/>
      </c>
      <c r="G54" s="19" t="str">
        <f aca="false">IF(COUNT(B54:E54)&lt;4,"",AVERAGE(D54:E54)/C54)</f>
        <v/>
      </c>
      <c r="H54" s="15" t="str">
        <f aca="false">IF(COUNT(B54:E54)&lt;4,"",ABS(D54-E54)/MAX(D54:E54)*100)</f>
        <v/>
      </c>
      <c r="I54" s="18" t="str">
        <f aca="false">IF(F54="","",IF(F54&lt;1,"pass","not yet"))</f>
        <v/>
      </c>
      <c r="J54" s="18" t="str">
        <f aca="false">IF(G54="","",IF(ABS(G54-0.75)&lt;=0.1,"pass","not yet"))</f>
        <v/>
      </c>
      <c r="K54" s="18" t="str">
        <f aca="false">IF(H54="","",IF(H54&lt;=5,"pass","not yet"))</f>
        <v/>
      </c>
      <c r="L54" s="11"/>
    </row>
    <row r="55" customFormat="false" ht="15" hidden="false" customHeight="false" outlineLevel="0" collapsed="false">
      <c r="A55" s="10"/>
      <c r="B55" s="11"/>
      <c r="C55" s="11"/>
      <c r="D55" s="11"/>
      <c r="E55" s="11"/>
      <c r="F55" s="19" t="str">
        <f aca="false">IF(COUNT(B55:E55)&lt;4,"",B55/C55)</f>
        <v/>
      </c>
      <c r="G55" s="19" t="str">
        <f aca="false">IF(COUNT(B55:E55)&lt;4,"",AVERAGE(D55:E55)/C55)</f>
        <v/>
      </c>
      <c r="H55" s="15" t="str">
        <f aca="false">IF(COUNT(B55:E55)&lt;4,"",ABS(D55-E55)/MAX(D55:E55)*100)</f>
        <v/>
      </c>
      <c r="I55" s="18" t="str">
        <f aca="false">IF(F55="","",IF(F55&lt;1,"pass","not yet"))</f>
        <v/>
      </c>
      <c r="J55" s="18" t="str">
        <f aca="false">IF(G55="","",IF(ABS(G55-0.75)&lt;=0.1,"pass","not yet"))</f>
        <v/>
      </c>
      <c r="K55" s="18" t="str">
        <f aca="false">IF(H55="","",IF(H55&lt;=5,"pass","not yet"))</f>
        <v/>
      </c>
      <c r="L55" s="11"/>
    </row>
    <row r="56" customFormat="false" ht="15" hidden="false" customHeight="false" outlineLevel="0" collapsed="false">
      <c r="A56" s="10"/>
      <c r="B56" s="11"/>
      <c r="C56" s="11"/>
      <c r="D56" s="11"/>
      <c r="E56" s="11"/>
      <c r="F56" s="19" t="str">
        <f aca="false">IF(COUNT(B56:E56)&lt;4,"",B56/C56)</f>
        <v/>
      </c>
      <c r="G56" s="19" t="str">
        <f aca="false">IF(COUNT(B56:E56)&lt;4,"",AVERAGE(D56:E56)/C56)</f>
        <v/>
      </c>
      <c r="H56" s="15" t="str">
        <f aca="false">IF(COUNT(B56:E56)&lt;4,"",ABS(D56-E56)/MAX(D56:E56)*100)</f>
        <v/>
      </c>
      <c r="I56" s="18" t="str">
        <f aca="false">IF(F56="","",IF(F56&lt;1,"pass","not yet"))</f>
        <v/>
      </c>
      <c r="J56" s="18" t="str">
        <f aca="false">IF(G56="","",IF(ABS(G56-0.75)&lt;=0.1,"pass","not yet"))</f>
        <v/>
      </c>
      <c r="K56" s="18" t="str">
        <f aca="false">IF(H56="","",IF(H56&lt;=5,"pass","not yet"))</f>
        <v/>
      </c>
      <c r="L56" s="11"/>
    </row>
    <row r="57" customFormat="false" ht="15" hidden="false" customHeight="false" outlineLevel="0" collapsed="false">
      <c r="A57" s="10"/>
      <c r="B57" s="11"/>
      <c r="C57" s="11"/>
      <c r="D57" s="11"/>
      <c r="E57" s="11"/>
      <c r="F57" s="19" t="str">
        <f aca="false">IF(COUNT(B57:E57)&lt;4,"",B57/C57)</f>
        <v/>
      </c>
      <c r="G57" s="19" t="str">
        <f aca="false">IF(COUNT(B57:E57)&lt;4,"",AVERAGE(D57:E57)/C57)</f>
        <v/>
      </c>
      <c r="H57" s="15" t="str">
        <f aca="false">IF(COUNT(B57:E57)&lt;4,"",ABS(D57-E57)/MAX(D57:E57)*100)</f>
        <v/>
      </c>
      <c r="I57" s="18" t="str">
        <f aca="false">IF(F57="","",IF(F57&lt;1,"pass","not yet"))</f>
        <v/>
      </c>
      <c r="J57" s="18" t="str">
        <f aca="false">IF(G57="","",IF(ABS(G57-0.75)&lt;=0.1,"pass","not yet"))</f>
        <v/>
      </c>
      <c r="K57" s="18" t="str">
        <f aca="false">IF(H57="","",IF(H57&lt;=5,"pass","not yet"))</f>
        <v/>
      </c>
      <c r="L57" s="11"/>
    </row>
    <row r="58" customFormat="false" ht="15" hidden="false" customHeight="false" outlineLevel="0" collapsed="false">
      <c r="A58" s="10"/>
      <c r="B58" s="11"/>
      <c r="C58" s="11"/>
      <c r="D58" s="11"/>
      <c r="E58" s="11"/>
      <c r="F58" s="19" t="str">
        <f aca="false">IF(COUNT(B58:E58)&lt;4,"",B58/C58)</f>
        <v/>
      </c>
      <c r="G58" s="19" t="str">
        <f aca="false">IF(COUNT(B58:E58)&lt;4,"",AVERAGE(D58:E58)/C58)</f>
        <v/>
      </c>
      <c r="H58" s="15" t="str">
        <f aca="false">IF(COUNT(B58:E58)&lt;4,"",ABS(D58-E58)/MAX(D58:E58)*100)</f>
        <v/>
      </c>
      <c r="I58" s="18" t="str">
        <f aca="false">IF(F58="","",IF(F58&lt;1,"pass","not yet"))</f>
        <v/>
      </c>
      <c r="J58" s="18" t="str">
        <f aca="false">IF(G58="","",IF(ABS(G58-0.75)&lt;=0.1,"pass","not yet"))</f>
        <v/>
      </c>
      <c r="K58" s="18" t="str">
        <f aca="false">IF(H58="","",IF(H58&lt;=5,"pass","not yet"))</f>
        <v/>
      </c>
      <c r="L58" s="11"/>
    </row>
    <row r="59" customFormat="false" ht="15" hidden="false" customHeight="false" outlineLevel="0" collapsed="false">
      <c r="A59" s="10"/>
      <c r="B59" s="11"/>
      <c r="C59" s="11"/>
      <c r="D59" s="11"/>
      <c r="E59" s="11"/>
      <c r="F59" s="19" t="str">
        <f aca="false">IF(COUNT(B59:E59)&lt;4,"",B59/C59)</f>
        <v/>
      </c>
      <c r="G59" s="19" t="str">
        <f aca="false">IF(COUNT(B59:E59)&lt;4,"",AVERAGE(D59:E59)/C59)</f>
        <v/>
      </c>
      <c r="H59" s="15" t="str">
        <f aca="false">IF(COUNT(B59:E59)&lt;4,"",ABS(D59-E59)/MAX(D59:E59)*100)</f>
        <v/>
      </c>
      <c r="I59" s="18" t="str">
        <f aca="false">IF(F59="","",IF(F59&lt;1,"pass","not yet"))</f>
        <v/>
      </c>
      <c r="J59" s="18" t="str">
        <f aca="false">IF(G59="","",IF(ABS(G59-0.75)&lt;=0.1,"pass","not yet"))</f>
        <v/>
      </c>
      <c r="K59" s="18" t="str">
        <f aca="false">IF(H59="","",IF(H59&lt;=5,"pass","not yet"))</f>
        <v/>
      </c>
      <c r="L59" s="11"/>
    </row>
    <row r="60" customFormat="false" ht="15" hidden="false" customHeight="false" outlineLevel="0" collapsed="false">
      <c r="A60" s="10"/>
      <c r="B60" s="11"/>
      <c r="C60" s="11"/>
      <c r="D60" s="11"/>
      <c r="E60" s="11"/>
      <c r="F60" s="19" t="str">
        <f aca="false">IF(COUNT(B60:E60)&lt;4,"",B60/C60)</f>
        <v/>
      </c>
      <c r="G60" s="19" t="str">
        <f aca="false">IF(COUNT(B60:E60)&lt;4,"",AVERAGE(D60:E60)/C60)</f>
        <v/>
      </c>
      <c r="H60" s="15" t="str">
        <f aca="false">IF(COUNT(B60:E60)&lt;4,"",ABS(D60-E60)/MAX(D60:E60)*100)</f>
        <v/>
      </c>
      <c r="I60" s="18" t="str">
        <f aca="false">IF(F60="","",IF(F60&lt;1,"pass","not yet"))</f>
        <v/>
      </c>
      <c r="J60" s="18" t="str">
        <f aca="false">IF(G60="","",IF(ABS(G60-0.75)&lt;=0.1,"pass","not yet"))</f>
        <v/>
      </c>
      <c r="K60" s="18" t="str">
        <f aca="false">IF(H60="","",IF(H60&lt;=5,"pass","not yet"))</f>
        <v/>
      </c>
      <c r="L60" s="11"/>
    </row>
    <row r="61" customFormat="false" ht="15" hidden="false" customHeight="false" outlineLevel="0" collapsed="false">
      <c r="A61" s="10"/>
      <c r="B61" s="11"/>
      <c r="C61" s="11"/>
      <c r="D61" s="11"/>
      <c r="E61" s="11"/>
      <c r="F61" s="19" t="str">
        <f aca="false">IF(COUNT(B61:E61)&lt;4,"",B61/C61)</f>
        <v/>
      </c>
      <c r="G61" s="19" t="str">
        <f aca="false">IF(COUNT(B61:E61)&lt;4,"",AVERAGE(D61:E61)/C61)</f>
        <v/>
      </c>
      <c r="H61" s="15" t="str">
        <f aca="false">IF(COUNT(B61:E61)&lt;4,"",ABS(D61-E61)/MAX(D61:E61)*100)</f>
        <v/>
      </c>
      <c r="I61" s="18" t="str">
        <f aca="false">IF(F61="","",IF(F61&lt;1,"pass","not yet"))</f>
        <v/>
      </c>
      <c r="J61" s="18" t="str">
        <f aca="false">IF(G61="","",IF(ABS(G61-0.75)&lt;=0.1,"pass","not yet"))</f>
        <v/>
      </c>
      <c r="K61" s="18" t="str">
        <f aca="false">IF(H61="","",IF(H61&lt;=5,"pass","not yet"))</f>
        <v/>
      </c>
      <c r="L61" s="11"/>
    </row>
    <row r="62" customFormat="false" ht="15" hidden="false" customHeight="false" outlineLevel="0" collapsed="false">
      <c r="A62" s="10"/>
      <c r="B62" s="11"/>
      <c r="C62" s="11"/>
      <c r="D62" s="11"/>
      <c r="E62" s="11"/>
      <c r="F62" s="19" t="str">
        <f aca="false">IF(COUNT(B62:E62)&lt;4,"",B62/C62)</f>
        <v/>
      </c>
      <c r="G62" s="19" t="str">
        <f aca="false">IF(COUNT(B62:E62)&lt;4,"",AVERAGE(D62:E62)/C62)</f>
        <v/>
      </c>
      <c r="H62" s="15" t="str">
        <f aca="false">IF(COUNT(B62:E62)&lt;4,"",ABS(D62-E62)/MAX(D62:E62)*100)</f>
        <v/>
      </c>
      <c r="I62" s="18" t="str">
        <f aca="false">IF(F62="","",IF(F62&lt;1,"pass","not yet"))</f>
        <v/>
      </c>
      <c r="J62" s="18" t="str">
        <f aca="false">IF(G62="","",IF(ABS(G62-0.75)&lt;=0.1,"pass","not yet"))</f>
        <v/>
      </c>
      <c r="K62" s="18" t="str">
        <f aca="false">IF(H62="","",IF(H62&lt;=5,"pass","not yet"))</f>
        <v/>
      </c>
      <c r="L62" s="11"/>
    </row>
    <row r="63" customFormat="false" ht="15" hidden="false" customHeight="false" outlineLevel="0" collapsed="false">
      <c r="A63" s="10"/>
      <c r="B63" s="11"/>
      <c r="C63" s="11"/>
      <c r="D63" s="11"/>
      <c r="E63" s="11"/>
      <c r="F63" s="19" t="str">
        <f aca="false">IF(COUNT(B63:E63)&lt;4,"",B63/C63)</f>
        <v/>
      </c>
      <c r="G63" s="19" t="str">
        <f aca="false">IF(COUNT(B63:E63)&lt;4,"",AVERAGE(D63:E63)/C63)</f>
        <v/>
      </c>
      <c r="H63" s="15" t="str">
        <f aca="false">IF(COUNT(B63:E63)&lt;4,"",ABS(D63-E63)/MAX(D63:E63)*100)</f>
        <v/>
      </c>
      <c r="I63" s="18" t="str">
        <f aca="false">IF(F63="","",IF(F63&lt;1,"pass","not yet"))</f>
        <v/>
      </c>
      <c r="J63" s="18" t="str">
        <f aca="false">IF(G63="","",IF(ABS(G63-0.75)&lt;=0.1,"pass","not yet"))</f>
        <v/>
      </c>
      <c r="K63" s="18" t="str">
        <f aca="false">IF(H63="","",IF(H63&lt;=5,"pass","not yet"))</f>
        <v/>
      </c>
      <c r="L63" s="11"/>
    </row>
    <row r="64" customFormat="false" ht="15" hidden="false" customHeight="false" outlineLevel="0" collapsed="false">
      <c r="A64" s="10"/>
      <c r="B64" s="11"/>
      <c r="C64" s="11"/>
      <c r="D64" s="11"/>
      <c r="E64" s="11"/>
      <c r="F64" s="19" t="str">
        <f aca="false">IF(COUNT(B64:E64)&lt;4,"",B64/C64)</f>
        <v/>
      </c>
      <c r="G64" s="19" t="str">
        <f aca="false">IF(COUNT(B64:E64)&lt;4,"",AVERAGE(D64:E64)/C64)</f>
        <v/>
      </c>
      <c r="H64" s="15" t="str">
        <f aca="false">IF(COUNT(B64:E64)&lt;4,"",ABS(D64-E64)/MAX(D64:E64)*100)</f>
        <v/>
      </c>
      <c r="I64" s="18" t="str">
        <f aca="false">IF(F64="","",IF(F64&lt;1,"pass","not yet"))</f>
        <v/>
      </c>
      <c r="J64" s="18" t="str">
        <f aca="false">IF(G64="","",IF(ABS(G64-0.75)&lt;=0.1,"pass","not yet"))</f>
        <v/>
      </c>
      <c r="K64" s="18" t="str">
        <f aca="false">IF(H64="","",IF(H64&lt;=5,"pass","not yet"))</f>
        <v/>
      </c>
      <c r="L64" s="11"/>
    </row>
    <row r="65" customFormat="false" ht="15" hidden="false" customHeight="false" outlineLevel="0" collapsed="false">
      <c r="A65" s="10"/>
      <c r="B65" s="11"/>
      <c r="C65" s="11"/>
      <c r="D65" s="11"/>
      <c r="E65" s="11"/>
      <c r="F65" s="19" t="str">
        <f aca="false">IF(COUNT(B65:E65)&lt;4,"",B65/C65)</f>
        <v/>
      </c>
      <c r="G65" s="19" t="str">
        <f aca="false">IF(COUNT(B65:E65)&lt;4,"",AVERAGE(D65:E65)/C65)</f>
        <v/>
      </c>
      <c r="H65" s="15" t="str">
        <f aca="false">IF(COUNT(B65:E65)&lt;4,"",ABS(D65-E65)/MAX(D65:E65)*100)</f>
        <v/>
      </c>
      <c r="I65" s="18" t="str">
        <f aca="false">IF(F65="","",IF(F65&lt;1,"pass","not yet"))</f>
        <v/>
      </c>
      <c r="J65" s="18" t="str">
        <f aca="false">IF(G65="","",IF(ABS(G65-0.75)&lt;=0.1,"pass","not yet"))</f>
        <v/>
      </c>
      <c r="K65" s="18" t="str">
        <f aca="false">IF(H65="","",IF(H65&lt;=5,"pass","not yet"))</f>
        <v/>
      </c>
      <c r="L65" s="11"/>
    </row>
  </sheetData>
  <conditionalFormatting sqref="I6:I65">
    <cfRule type="expression" priority="2" aboveAverage="0" equalAverage="0" bottom="0" percent="0" rank="0" text="" dxfId="2">
      <formula>I6="pass"</formula>
    </cfRule>
    <cfRule type="expression" priority="3" aboveAverage="0" equalAverage="0" bottom="0" percent="0" rank="0" text="" dxfId="1">
      <formula>I6="not yet"</formula>
    </cfRule>
  </conditionalFormatting>
  <conditionalFormatting sqref="J6:J65">
    <cfRule type="expression" priority="4" aboveAverage="0" equalAverage="0" bottom="0" percent="0" rank="0" text="" dxfId="2">
      <formula>J6="pass"</formula>
    </cfRule>
    <cfRule type="expression" priority="5" aboveAverage="0" equalAverage="0" bottom="0" percent="0" rank="0" text="" dxfId="1">
      <formula>J6="not yet"</formula>
    </cfRule>
  </conditionalFormatting>
  <conditionalFormatting sqref="K6:K65">
    <cfRule type="expression" priority="6" aboveAverage="0" equalAverage="0" bottom="0" percent="0" rank="0" text="" dxfId="2">
      <formula>K6="pass"</formula>
    </cfRule>
    <cfRule type="expression" priority="7" aboveAverage="0" equalAverage="0" bottom="0" percent="0" rank="0" text="" dxfId="1">
      <formula>K6="not yet"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19.7" hidden="false" customHeight="false" outlineLevel="0" collapsed="false">
      <c r="A1" s="7" t="s">
        <v>73</v>
      </c>
    </row>
    <row r="2" customFormat="false" ht="15" hidden="false" customHeight="false" outlineLevel="0" collapsed="false">
      <c r="A2" s="8" t="s">
        <v>74</v>
      </c>
    </row>
    <row r="4" customFormat="false" ht="15" hidden="false" customHeight="false" outlineLevel="0" collapsed="false">
      <c r="A4" s="20" t="s">
        <v>75</v>
      </c>
      <c r="B4" s="21" t="s">
        <v>76</v>
      </c>
      <c r="C4" s="22" t="str">
        <f aca="false">COUNTIFS($A$12:$A$25,0,$D$12:$D$25,"yes")&amp;" of "&amp;COUNTIF($A$12:$A$25,0)&amp;" met"</f>
        <v>0 of 1 met</v>
      </c>
    </row>
    <row r="5" customFormat="false" ht="15" hidden="false" customHeight="false" outlineLevel="0" collapsed="false">
      <c r="A5" s="20" t="s">
        <v>77</v>
      </c>
      <c r="B5" s="21" t="s">
        <v>78</v>
      </c>
      <c r="C5" s="22" t="str">
        <f aca="false">COUNTIFS($A$12:$A$25,1,$D$12:$D$25,"yes")&amp;" of "&amp;COUNTIF($A$12:$A$25,1)&amp;" met"</f>
        <v>0 of 6 met</v>
      </c>
    </row>
    <row r="6" customFormat="false" ht="15" hidden="false" customHeight="false" outlineLevel="0" collapsed="false">
      <c r="A6" s="20" t="s">
        <v>79</v>
      </c>
      <c r="B6" s="21" t="s">
        <v>80</v>
      </c>
      <c r="C6" s="22" t="str">
        <f aca="false">COUNTIFS($A$12:$A$25,2,$D$12:$D$25,"yes")&amp;" of "&amp;COUNTIF($A$12:$A$25,2)&amp;" met"</f>
        <v>0 of 4 met</v>
      </c>
    </row>
    <row r="7" customFormat="false" ht="15" hidden="false" customHeight="false" outlineLevel="0" collapsed="false">
      <c r="A7" s="20" t="s">
        <v>81</v>
      </c>
      <c r="B7" s="21" t="s">
        <v>82</v>
      </c>
      <c r="C7" s="22" t="str">
        <f aca="false">COUNTIFS($A$12:$A$25,3,$D$12:$D$25,"yes")&amp;" of "&amp;COUNTIF($A$12:$A$25,3)&amp;" met"</f>
        <v>0 of 2 met</v>
      </c>
    </row>
    <row r="8" customFormat="false" ht="15" hidden="false" customHeight="false" outlineLevel="0" collapsed="false">
      <c r="A8" s="20" t="s">
        <v>83</v>
      </c>
      <c r="B8" s="21" t="s">
        <v>84</v>
      </c>
      <c r="C8" s="22" t="str">
        <f aca="false">COUNTIFS($A$12:$A$25,4,$D$12:$D$25,"yes")&amp;" of "&amp;COUNTIF($A$12:$A$25,4)&amp;" met"</f>
        <v>0 of 1 met</v>
      </c>
    </row>
    <row r="11" customFormat="false" ht="30" hidden="false" customHeight="true" outlineLevel="0" collapsed="false">
      <c r="A11" s="9" t="s">
        <v>85</v>
      </c>
      <c r="B11" s="9" t="s">
        <v>86</v>
      </c>
      <c r="C11" s="9" t="s">
        <v>87</v>
      </c>
      <c r="D11" s="9" t="s">
        <v>88</v>
      </c>
      <c r="E11" s="9" t="s">
        <v>89</v>
      </c>
      <c r="F11" s="9" t="s">
        <v>90</v>
      </c>
    </row>
    <row r="12" customFormat="false" ht="15" hidden="false" customHeight="false" outlineLevel="0" collapsed="false">
      <c r="A12" s="23" t="n">
        <v>0</v>
      </c>
      <c r="B12" s="23" t="s">
        <v>91</v>
      </c>
      <c r="C12" s="23" t="s">
        <v>92</v>
      </c>
      <c r="D12" s="14"/>
      <c r="E12" s="24"/>
      <c r="F12" s="14"/>
    </row>
    <row r="13" customFormat="false" ht="15" hidden="false" customHeight="false" outlineLevel="0" collapsed="false">
      <c r="A13" s="23" t="n">
        <v>1</v>
      </c>
      <c r="B13" s="23" t="s">
        <v>93</v>
      </c>
      <c r="C13" s="23" t="s">
        <v>94</v>
      </c>
      <c r="D13" s="14"/>
      <c r="E13" s="24"/>
      <c r="F13" s="14"/>
    </row>
    <row r="14" customFormat="false" ht="15" hidden="false" customHeight="false" outlineLevel="0" collapsed="false">
      <c r="A14" s="23" t="n">
        <v>1</v>
      </c>
      <c r="B14" s="23" t="s">
        <v>95</v>
      </c>
      <c r="C14" s="23" t="s">
        <v>94</v>
      </c>
      <c r="D14" s="14"/>
      <c r="E14" s="24"/>
      <c r="F14" s="14"/>
    </row>
    <row r="15" customFormat="false" ht="15" hidden="false" customHeight="false" outlineLevel="0" collapsed="false">
      <c r="A15" s="23" t="n">
        <v>1</v>
      </c>
      <c r="B15" s="23" t="s">
        <v>96</v>
      </c>
      <c r="C15" s="23" t="s">
        <v>94</v>
      </c>
      <c r="D15" s="14"/>
      <c r="E15" s="24"/>
      <c r="F15" s="14"/>
    </row>
    <row r="16" customFormat="false" ht="15" hidden="false" customHeight="false" outlineLevel="0" collapsed="false">
      <c r="A16" s="23" t="n">
        <v>1</v>
      </c>
      <c r="B16" s="23" t="s">
        <v>97</v>
      </c>
      <c r="C16" s="23" t="s">
        <v>98</v>
      </c>
      <c r="D16" s="14"/>
      <c r="E16" s="24"/>
      <c r="F16" s="14"/>
    </row>
    <row r="17" customFormat="false" ht="15" hidden="false" customHeight="false" outlineLevel="0" collapsed="false">
      <c r="A17" s="23" t="n">
        <v>1</v>
      </c>
      <c r="B17" s="23" t="s">
        <v>99</v>
      </c>
      <c r="C17" s="23" t="s">
        <v>92</v>
      </c>
      <c r="D17" s="14"/>
      <c r="E17" s="24"/>
      <c r="F17" s="14"/>
    </row>
    <row r="18" customFormat="false" ht="15" hidden="false" customHeight="false" outlineLevel="0" collapsed="false">
      <c r="A18" s="23" t="n">
        <v>1</v>
      </c>
      <c r="B18" s="23" t="s">
        <v>100</v>
      </c>
      <c r="C18" s="23" t="s">
        <v>92</v>
      </c>
      <c r="D18" s="14"/>
      <c r="E18" s="24"/>
      <c r="F18" s="14"/>
    </row>
    <row r="19" customFormat="false" ht="23.85" hidden="false" customHeight="false" outlineLevel="0" collapsed="false">
      <c r="A19" s="23" t="n">
        <v>2</v>
      </c>
      <c r="B19" s="23" t="s">
        <v>101</v>
      </c>
      <c r="C19" s="23" t="s">
        <v>92</v>
      </c>
      <c r="D19" s="14"/>
      <c r="E19" s="24"/>
      <c r="F19" s="14"/>
    </row>
    <row r="20" customFormat="false" ht="15" hidden="false" customHeight="false" outlineLevel="0" collapsed="false">
      <c r="A20" s="23" t="n">
        <v>2</v>
      </c>
      <c r="B20" s="23" t="s">
        <v>102</v>
      </c>
      <c r="C20" s="23" t="s">
        <v>92</v>
      </c>
      <c r="D20" s="14"/>
      <c r="E20" s="24"/>
      <c r="F20" s="14"/>
    </row>
    <row r="21" customFormat="false" ht="15" hidden="false" customHeight="false" outlineLevel="0" collapsed="false">
      <c r="A21" s="23" t="n">
        <v>2</v>
      </c>
      <c r="B21" s="23" t="s">
        <v>103</v>
      </c>
      <c r="C21" s="23" t="s">
        <v>98</v>
      </c>
      <c r="D21" s="14"/>
      <c r="E21" s="24"/>
      <c r="F21" s="14"/>
    </row>
    <row r="22" customFormat="false" ht="15" hidden="false" customHeight="false" outlineLevel="0" collapsed="false">
      <c r="A22" s="23" t="n">
        <v>2</v>
      </c>
      <c r="B22" s="23" t="s">
        <v>104</v>
      </c>
      <c r="C22" s="23" t="s">
        <v>94</v>
      </c>
      <c r="D22" s="14"/>
      <c r="E22" s="24"/>
      <c r="F22" s="14"/>
    </row>
    <row r="23" customFormat="false" ht="15" hidden="false" customHeight="false" outlineLevel="0" collapsed="false">
      <c r="A23" s="23" t="n">
        <v>3</v>
      </c>
      <c r="B23" s="23" t="s">
        <v>105</v>
      </c>
      <c r="C23" s="23" t="s">
        <v>92</v>
      </c>
      <c r="D23" s="14"/>
      <c r="E23" s="24"/>
      <c r="F23" s="14"/>
    </row>
    <row r="24" customFormat="false" ht="15" hidden="false" customHeight="false" outlineLevel="0" collapsed="false">
      <c r="A24" s="23" t="n">
        <v>3</v>
      </c>
      <c r="B24" s="23" t="s">
        <v>106</v>
      </c>
      <c r="C24" s="23" t="s">
        <v>98</v>
      </c>
      <c r="D24" s="14"/>
      <c r="E24" s="24"/>
      <c r="F24" s="14"/>
    </row>
    <row r="25" customFormat="false" ht="15" hidden="false" customHeight="false" outlineLevel="0" collapsed="false">
      <c r="A25" s="23" t="n">
        <v>4</v>
      </c>
      <c r="B25" s="23" t="s">
        <v>107</v>
      </c>
      <c r="C25" s="23" t="s">
        <v>92</v>
      </c>
      <c r="D25" s="14"/>
      <c r="E25" s="24"/>
      <c r="F25" s="14"/>
    </row>
  </sheetData>
  <conditionalFormatting sqref="A12:F25">
    <cfRule type="expression" priority="2" aboveAverage="0" equalAverage="0" bottom="0" percent="0" rank="0" text="" dxfId="2">
      <formula>$D12="yes"</formula>
    </cfRule>
  </conditionalFormatting>
  <dataValidations count="1">
    <dataValidation allowBlank="true" errorStyle="stop" operator="between" prompt="Yes only when the log shows it." showDropDown="false" showErrorMessage="false" showInputMessage="true" sqref="D12:D25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7" t="s">
        <v>108</v>
      </c>
    </row>
    <row r="2" customFormat="false" ht="15" hidden="false" customHeight="false" outlineLevel="0" collapsed="false">
      <c r="A2" s="8" t="s">
        <v>109</v>
      </c>
    </row>
    <row r="4" customFormat="false" ht="15" hidden="false" customHeight="false" outlineLevel="0" collapsed="false">
      <c r="A4" s="20" t="s">
        <v>110</v>
      </c>
    </row>
    <row r="5" customFormat="false" ht="15" hidden="false" customHeight="false" outlineLevel="0" collapsed="false">
      <c r="A5" s="21" t="s">
        <v>40</v>
      </c>
      <c r="B5" s="25" t="n">
        <v>100</v>
      </c>
    </row>
    <row r="6" customFormat="false" ht="15" hidden="false" customHeight="false" outlineLevel="0" collapsed="false">
      <c r="A6" s="21" t="s">
        <v>42</v>
      </c>
      <c r="B6" s="25" t="n">
        <v>5</v>
      </c>
    </row>
    <row r="7" customFormat="false" ht="15" hidden="false" customHeight="false" outlineLevel="0" collapsed="false">
      <c r="A7" s="21" t="s">
        <v>111</v>
      </c>
      <c r="B7" s="25" t="n">
        <v>8</v>
      </c>
    </row>
    <row r="8" customFormat="false" ht="15" hidden="false" customHeight="false" outlineLevel="0" collapsed="false">
      <c r="A8" s="20" t="s">
        <v>112</v>
      </c>
      <c r="B8" s="26" t="n">
        <f aca="false">IF(OR(B5="",B6=""),"",IF(B6&lt;=1,B5,B5*(1+B6/30)))</f>
        <v>116.666666666667</v>
      </c>
    </row>
    <row r="9" customFormat="false" ht="15" hidden="false" customHeight="false" outlineLevel="0" collapsed="false">
      <c r="A9" s="20" t="s">
        <v>113</v>
      </c>
      <c r="B9" s="26" t="n">
        <f aca="false">IF(B7="","",IF(B6+MAX(0,10-B7)&lt;=1,B5,B5*(1+(B6+MAX(0,10-B7))/30)))</f>
        <v>123.333333333333</v>
      </c>
    </row>
    <row r="10" customFormat="false" ht="15" hidden="false" customHeight="false" outlineLevel="0" collapsed="false">
      <c r="A10" s="8" t="s">
        <v>114</v>
      </c>
    </row>
    <row r="12" customFormat="false" ht="15" hidden="false" customHeight="false" outlineLevel="0" collapsed="false">
      <c r="A12" s="20" t="s">
        <v>115</v>
      </c>
    </row>
    <row r="13" customFormat="false" ht="15" hidden="false" customHeight="false" outlineLevel="0" collapsed="false">
      <c r="A13" s="21" t="s">
        <v>116</v>
      </c>
      <c r="B13" s="25" t="n">
        <v>150</v>
      </c>
    </row>
    <row r="14" customFormat="false" ht="15" hidden="false" customHeight="false" outlineLevel="0" collapsed="false">
      <c r="A14" s="21" t="s">
        <v>27</v>
      </c>
      <c r="B14" s="25" t="n">
        <v>82</v>
      </c>
    </row>
    <row r="15" customFormat="false" ht="15" hidden="false" customHeight="false" outlineLevel="0" collapsed="false">
      <c r="A15" s="20" t="s">
        <v>117</v>
      </c>
      <c r="B15" s="27" t="n">
        <f aca="false">IF(OR(B13="",N(B14)=0),"",B13/B14)</f>
        <v>1.82926829268293</v>
      </c>
    </row>
    <row r="16" customFormat="false" ht="15" hidden="false" customHeight="false" outlineLevel="0" collapsed="false">
      <c r="A16" s="8" t="s">
        <v>118</v>
      </c>
    </row>
    <row r="18" customFormat="false" ht="15" hidden="false" customHeight="false" outlineLevel="0" collapsed="false">
      <c r="A18" s="20" t="s">
        <v>119</v>
      </c>
    </row>
    <row r="19" customFormat="false" ht="15" hidden="false" customHeight="false" outlineLevel="0" collapsed="false">
      <c r="A19" s="21" t="s">
        <v>120</v>
      </c>
      <c r="B19" s="25" t="n">
        <v>500</v>
      </c>
    </row>
    <row r="20" customFormat="false" ht="15" hidden="false" customHeight="false" outlineLevel="0" collapsed="false">
      <c r="A20" s="21" t="s">
        <v>27</v>
      </c>
      <c r="B20" s="25" t="n">
        <v>82</v>
      </c>
    </row>
    <row r="21" customFormat="false" ht="15" hidden="false" customHeight="false" outlineLevel="0" collapsed="false">
      <c r="A21" s="21" t="s">
        <v>121</v>
      </c>
      <c r="B21" s="25" t="s">
        <v>122</v>
      </c>
    </row>
    <row r="22" customFormat="false" ht="15" hidden="false" customHeight="false" outlineLevel="0" collapsed="false">
      <c r="A22" s="20" t="s">
        <v>123</v>
      </c>
      <c r="B22" s="26" t="n">
        <f aca="false">IF(OR(B19="",B20=""),"",B19*500/IF(B21="female",(-57.96288)*B20^0+(13.6175032)*B20^1+(-0.1126655495)*B20^2+(0.0005158568)*B20^3+(-0.0000010706)*B20^4,(-307.75076)*B20^0+(24.0900756)*B20^1+(-0.1918759221)*B20^2+(0.0007391293)*B20^3+(-0.000001093)*B20^4))</f>
        <v>339.869211075096</v>
      </c>
    </row>
    <row r="23" customFormat="false" ht="15" hidden="false" customHeight="false" outlineLevel="0" collapsed="false">
      <c r="A23" s="8" t="s">
        <v>124</v>
      </c>
    </row>
  </sheetData>
  <dataValidations count="1">
    <dataValidation allowBlank="false" errorStyle="stop" operator="between" showDropDown="false" showErrorMessage="false" showInputMessage="false" sqref="B21" type="list">
      <formula1>"male,female"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2026-10-21T04:26:48Z</dcterms:created>
  <dc:creator>openpyxl</dc:creator>
  <dc:description/>
  <dc:language>en-US</dc:language>
  <cp:lastModifiedBy/>
  <dcterms:modified xsi:type="dcterms:W3CDTF">2026-10-21T04:26:48Z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